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d.docs.live.net/4322545381e3c6ef/Documents/Plastic Surgery Research projects/Fitness to Flap Score/Validation/"/>
    </mc:Choice>
  </mc:AlternateContent>
  <xr:revisionPtr revIDLastSave="464" documentId="8_{5D5DDF48-6DD1-754C-BB6E-F2576194419B}" xr6:coauthVersionLast="47" xr6:coauthVersionMax="47" xr10:uidLastSave="{6736CF8E-D0C9-7F47-9401-8941D2B33ACC}"/>
  <bookViews>
    <workbookView xWindow="140" yWindow="780" windowWidth="23260" windowHeight="19420" tabRatio="500" xr2:uid="{00000000-000D-0000-FFFF-FFFF00000000}"/>
  </bookViews>
  <sheets>
    <sheet name="Account - Clinical Data" sheetId="5" r:id="rId1"/>
    <sheet name="Instructions" sheetId="4" r:id="rId2"/>
    <sheet name="Clavien-Dindo Ref" sheetId="6" r:id="rId3"/>
    <sheet name="Dashboard" sheetId="2" r:id="rId4"/>
    <sheet name="F2F Reference" sheetId="3" r:id="rId5"/>
    <sheet name="Don’t use Patient Data" sheetId="1" r:id="rId6"/>
  </sheets>
  <definedNames>
    <definedName name="_xlnm._FilterDatabase" localSheetId="5" hidden="1">'Don’t use Patient Data'!$A$2:$CP$202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<sst xmlns="http://schemas.openxmlformats.org/spreadsheetml/2006/main" count="452" uniqueCount="277">
  <si>
    <t>Study ID</t>
  </si>
  <si>
    <t>Hospital Account #</t>
  </si>
  <si>
    <t>DOB</t>
  </si>
  <si>
    <t>Age at enrollment</t>
  </si>
  <si>
    <t>Sex</t>
  </si>
  <si>
    <t>Scores Dates</t>
  </si>
  <si>
    <t>Optimization Duration (days)</t>
  </si>
  <si>
    <t xml:space="preserve">Surgery  </t>
  </si>
  <si>
    <t>PRIMARY OUTCOMES — 30 DAYS</t>
  </si>
  <si>
    <t>SECONDARY OUTCOMES</t>
  </si>
  <si>
    <t>Administrative</t>
  </si>
  <si>
    <t>First F2F score</t>
  </si>
  <si>
    <t>Reassesment</t>
  </si>
  <si>
    <t>Preoperative F2F score</t>
  </si>
  <si>
    <t>Debridements #</t>
  </si>
  <si>
    <t>Type of flap</t>
  </si>
  <si>
    <t>Deep SSI</t>
  </si>
  <si>
    <t>Hematoma/Seroma → OR</t>
  </si>
  <si>
    <t>Major Dehiscence → OR</t>
  </si>
  <si>
    <t>30-day Mortality</t>
  </si>
  <si>
    <t>◉ PRIMARY ENDPOINT</t>
  </si>
  <si>
    <t>Clavien-Dindo Grade</t>
  </si>
  <si>
    <t>Minor Complication?</t>
  </si>
  <si>
    <t>Minor Comp Detail</t>
  </si>
  <si>
    <t>30-day Readmission</t>
  </si>
  <si>
    <t>30-day Reoperation</t>
  </si>
  <si>
    <t xml:space="preserve">LOS since enrollment (days) </t>
  </si>
  <si>
    <t>ICU Admission</t>
  </si>
  <si>
    <t>90-day Recurrence</t>
  </si>
  <si>
    <t>30-day F/U Done?</t>
  </si>
  <si>
    <t>90-day F/U Done?</t>
  </si>
  <si>
    <t>Notes</t>
  </si>
  <si>
    <t>PGH-002</t>
  </si>
  <si>
    <t/>
  </si>
  <si>
    <t>F</t>
  </si>
  <si>
    <t>-</t>
  </si>
  <si>
    <t>Local rotational</t>
  </si>
  <si>
    <t>N</t>
  </si>
  <si>
    <t>Y</t>
  </si>
  <si>
    <t>Minor dehiscence</t>
  </si>
  <si>
    <t>Unknown</t>
  </si>
  <si>
    <t>PGH-004</t>
  </si>
  <si>
    <t/>
  </si>
  <si>
    <t>M</t>
  </si>
  <si>
    <t>PGH-003</t>
  </si>
  <si>
    <t/>
  </si>
  <si>
    <t>PGH-005</t>
  </si>
  <si>
    <t/>
  </si>
  <si>
    <t>PGH-006</t>
  </si>
  <si>
    <t/>
  </si>
  <si>
    <t>Prolonged LOS - social case</t>
  </si>
  <si>
    <t>PGH-007</t>
  </si>
  <si>
    <t/>
  </si>
  <si>
    <t>PGH-008</t>
  </si>
  <si>
    <t/>
  </si>
  <si>
    <t>PGH-009</t>
  </si>
  <si>
    <t/>
  </si>
  <si>
    <t>LCH-010</t>
  </si>
  <si>
    <t/>
  </si>
  <si>
    <t>Perforator based</t>
  </si>
  <si>
    <t>LCH-011</t>
  </si>
  <si>
    <t>F2F SCORE — DATA COLLECTION INSTRUCTIONS</t>
  </si>
  <si>
    <t>HOW TO USE THIS SPREADSHEET</t>
  </si>
  <si>
    <t>1. Open 'Patient Data' tab</t>
  </si>
  <si>
    <t>Enter one patient per row, starting at row 3.</t>
  </si>
  <si>
    <t>2. Study ID</t>
  </si>
  <si>
    <t>Enter as LCH-001, PGH-002, DMC-003, depending of hospital: DMC Delray, LCH Larkin, PGH Plametto, etc. Must be unique and de-identified — NO patient names.</t>
  </si>
  <si>
    <t>HIPAA: de-identified only</t>
  </si>
  <si>
    <t>3. Enrollment Date</t>
  </si>
  <si>
    <t>Date the F2F Score was first calculated for this patient.</t>
  </si>
  <si>
    <t>4. Surgery Date</t>
  </si>
  <si>
    <t>Date of the index flap reconstruction procedure.</t>
  </si>
  <si>
    <t>5. Pre-Screen (columns J–R)</t>
  </si>
  <si>
    <t>Check each absolute contraindication — Y if present, N if absent. Column S auto-calculates. If 'STOP' appears, do not score.</t>
  </si>
  <si>
    <t>6. Domain 1–4 Entry</t>
  </si>
  <si>
    <t>Select from dropdown for each variable. Gray 'Pts' columns calculate automatically — do not edit.</t>
  </si>
  <si>
    <t>Do NOT edit gray columns</t>
  </si>
  <si>
    <t>7. F2F Total Score (col BI)</t>
  </si>
  <si>
    <t>Calculates automatically from domain totals.</t>
  </si>
  <si>
    <t>Auto-calculated</t>
  </si>
  <si>
    <t>8. Risk Tier (col BJ)</t>
  </si>
  <si>
    <t>Calculates automatically and color-codes: Green=Low, Yellow=Moderate, Orange=High, Red=Not Ideal.</t>
  </si>
  <si>
    <t>9. Infection Concern (col T)</t>
  </si>
  <si>
    <t>If No: PCT and inflammatory markers score 0 automatically.</t>
  </si>
  <si>
    <t>10. PVD (col AP)</t>
  </si>
  <si>
    <t>Only relevant for lower extremity or multiple site wounds — auto-scored 0 otherwise.</t>
  </si>
  <si>
    <t>OUTCOME COLLECTION</t>
  </si>
  <si>
    <t>11. Primary Endpoint (col CB)</t>
  </si>
  <si>
    <t>Auto-calculates: 'YES — EVENT' if ANY of columns BU–CA = Y.</t>
  </si>
  <si>
    <t>Blinded adjudication required</t>
  </si>
  <si>
    <t>12. Adjudicator ID (col CK)</t>
  </si>
  <si>
    <t>Enter the ID of the co-investigator who adjudicated the 30-day endpoint (must be blinded to F2F Score).</t>
  </si>
  <si>
    <t>Protocol requirement</t>
  </si>
  <si>
    <t>13. 90-day Recurrence (col CJ)</t>
  </si>
  <si>
    <t>Pressure injury cases only — leave blank for other indications.</t>
  </si>
  <si>
    <t>14. F/U Complete (cols CM, CN)</t>
  </si>
  <si>
    <t>Mark Y when 30-day and 90-day follow-up data collection is complete for this patient.</t>
  </si>
  <si>
    <t>DATA INTEGRITY</t>
  </si>
  <si>
    <t>15. Do not edit gray cells</t>
  </si>
  <si>
    <t>Gray cells contain auto-calculated formulas. Editing them will break the scoring.</t>
  </si>
  <si>
    <t>16. De-identified data only</t>
  </si>
  <si>
    <t>Never enter patient name, date of birth, MRN, address, or any other PHI.</t>
  </si>
  <si>
    <t>HIPAA requirement</t>
  </si>
  <si>
    <t>17. Dashboard tab</t>
  </si>
  <si>
    <t>Auto-updates with enrollment counts and event rates as you enter data.</t>
  </si>
  <si>
    <t>18. Reference tab</t>
  </si>
  <si>
    <t>Complete F2F scoring guide for reference during data entry.</t>
  </si>
  <si>
    <t>CONTACT</t>
  </si>
  <si>
    <t>Principal Investigator</t>
  </si>
  <si>
    <t>Pedro Fuenmayor, MD — Larkin Community Hospital Plastic Surgery Program</t>
  </si>
  <si>
    <t>Protocol Version</t>
  </si>
  <si>
    <t>1.0 — See IRB approval documents for current protocol version.</t>
  </si>
  <si>
    <t>Clavien-Dindo Classification of Surgical Complications</t>
  </si>
  <si>
    <t>Grade</t>
  </si>
  <si>
    <t>Definition</t>
  </si>
  <si>
    <t>I</t>
  </si>
  <si>
    <t>Any deviation from the normal postoperative course without the need for pharmacological treatment or surgical, endoscopic, and radiological interventions. Allowed therapeutic regimens are: drugs as antiemetics, antipyretics, analgesics, diuretics, electrolytes, and physiotherapy. This grade also includes wound infections opened at the bedside.</t>
  </si>
  <si>
    <t>II</t>
  </si>
  <si>
    <t>Requiring pharmacological treatment with drugs other than those allowed for Grade I complications. Blood transfusions and total parenteral nutrition are also included.</t>
  </si>
  <si>
    <t>IIIa</t>
  </si>
  <si>
    <t>Requiring surgical, endoscopic or radiological intervention not under general anesthesia.</t>
  </si>
  <si>
    <t>IIIb</t>
  </si>
  <si>
    <t>Requiring surgical, endoscopic or radiological intervention under general anesthesia.</t>
  </si>
  <si>
    <t>IVa</t>
  </si>
  <si>
    <t>Life-threatening complication (including CNS complications) requiring IC/ICU management - single organ dysfunction.</t>
  </si>
  <si>
    <t>IVb</t>
  </si>
  <si>
    <t>Life-threatening complication (including CNS complications) requiring IC/ICU management - multiorgan dysfunction.</t>
  </si>
  <si>
    <t>V</t>
  </si>
  <si>
    <t>Death of a patient.</t>
  </si>
  <si>
    <t>Suffix 'd'</t>
  </si>
  <si>
    <t>If the patient suffers from a complication at the time of discharge, the suffix 'd' (for disability) is added to the respective grade of complication. This label indicates the need for a follow-up to fully evaluate the complication.</t>
  </si>
  <si>
    <t>F2F STUDY — ENROLLMENT DASHBOARD</t>
  </si>
  <si>
    <t>METRIC</t>
  </si>
  <si>
    <t>VALUE</t>
  </si>
  <si>
    <t>NOTES</t>
  </si>
  <si>
    <t>Total Patients Enrolled</t>
  </si>
  <si>
    <t>Auto-updates</t>
  </si>
  <si>
    <t>Surgery Performed</t>
  </si>
  <si>
    <t>30-day F/U Complete</t>
  </si>
  <si>
    <t>90-day F/U Complete</t>
  </si>
  <si>
    <t>Primary Endpoint Events (YES)</t>
  </si>
  <si>
    <t>Event Rate (%)</t>
  </si>
  <si>
    <t>Events / 30d F/U complete</t>
  </si>
  <si>
    <t>BY RISK TIER</t>
  </si>
  <si>
    <t>LOW RISK patients</t>
  </si>
  <si>
    <t>F2F 0–5 pts</t>
  </si>
  <si>
    <t>MODERATE RISK patients</t>
  </si>
  <si>
    <t>F2F 6–12 pts</t>
  </si>
  <si>
    <t>HIGH RISK patients</t>
  </si>
  <si>
    <t>F2F 13–19 pts</t>
  </si>
  <si>
    <t>NOT IDEAL CANDIDATE</t>
  </si>
  <si>
    <t>F2F ≥20 pts</t>
  </si>
  <si>
    <t>OPTIMIZATION</t>
  </si>
  <si>
    <t>Patients who received pre-op optimization</t>
  </si>
  <si>
    <t>Abs CI present at enrollment</t>
  </si>
  <si>
    <t>DATA QUALITY</t>
  </si>
  <si>
    <t>Records missing surgery date</t>
  </si>
  <si>
    <t>Missing 30-day F/U</t>
  </si>
  <si>
    <t>F2F SCORE — COMPLETE SCORING REFERENCE</t>
  </si>
  <si>
    <t>DOMAIN 1 — BIOMARKERS &amp; NUTRITION (Max 9 pts)</t>
  </si>
  <si>
    <t>Variable</t>
  </si>
  <si>
    <t>Options</t>
  </si>
  <si>
    <t>Points</t>
  </si>
  <si>
    <t>Albumin</t>
  </si>
  <si>
    <t>≥3.5 g/dL / 3.0–3.49 g/dL / 2.5–2.99 g/dL / &lt;2.5 (Abs CI)</t>
  </si>
  <si>
    <t>0 / 1 / 3 / CI</t>
  </si>
  <si>
    <t>Prealbumin</t>
  </si>
  <si>
    <t>≥18 mg/dL / 12–17.9 mg/dL / &lt;12 mg/dL</t>
  </si>
  <si>
    <t>0 / 1 / 2</t>
  </si>
  <si>
    <t>BMI / Weight Loss</t>
  </si>
  <si>
    <t>Normal / Borderline / Severe</t>
  </si>
  <si>
    <t>0 / 1 / 3</t>
  </si>
  <si>
    <t>PCT (if infection concern)</t>
  </si>
  <si>
    <t>&lt;0.5 / 0.5–2.0 / &gt;2.0 ng/mL</t>
  </si>
  <si>
    <t>0 / 1 / CI</t>
  </si>
  <si>
    <t>CRP&gt;100 or WBC≥12k (if infection concern)</t>
  </si>
  <si>
    <t>Present / Absent</t>
  </si>
  <si>
    <t>1 / 0</t>
  </si>
  <si>
    <t>DOMAIN 2 — WOUND FACTORS (Max 10 pts)</t>
  </si>
  <si>
    <t>Wound Location</t>
  </si>
  <si>
    <t>Sacral/Troch/Other / Multiple Sites / Ischial</t>
  </si>
  <si>
    <t>Wound Size</t>
  </si>
  <si>
    <t>&lt;50 cm² / 50–100 cm² / &gt;100 cm²</t>
  </si>
  <si>
    <t>Osteomyelitis</t>
  </si>
  <si>
    <t>None / Chronic + sequestrum / Acute purulent</t>
  </si>
  <si>
    <t>Prior Flap at Site</t>
  </si>
  <si>
    <t>None / 1 prior / ≥2 prior</t>
  </si>
  <si>
    <t>0 / 2 / 3</t>
  </si>
  <si>
    <t>Wound Soiling</t>
  </si>
  <si>
    <t>None / Intermittent / Constant</t>
  </si>
  <si>
    <t>PVD (extremity wounds only)</t>
  </si>
  <si>
    <t>ABI &lt;0.8 or absent pulses</t>
  </si>
  <si>
    <t>0 or 1</t>
  </si>
  <si>
    <t>Irradiated Wound Bed</t>
  </si>
  <si>
    <t>Yes / No</t>
  </si>
  <si>
    <t>DOMAIN 3 — COMORBIDITIES (Max 6 pts)</t>
  </si>
  <si>
    <t>Diabetes (HbA1c)</t>
  </si>
  <si>
    <t>&lt;7.0% / 7.0–7.9% / ≥8.0%</t>
  </si>
  <si>
    <t>Smoking</t>
  </si>
  <si>
    <t>Never/Former &gt;6mo / Current or &lt;6mo</t>
  </si>
  <si>
    <t>0 / 2</t>
  </si>
  <si>
    <t>Cardiopulmonary / Renal</t>
  </si>
  <si>
    <t>None / 1 stable / ≥2 or symptomatic</t>
  </si>
  <si>
    <t>Chronic Steroids</t>
  </si>
  <si>
    <t>≥30 days of &gt;20 mg/day prednisone equiv.</t>
  </si>
  <si>
    <t>0 or 2</t>
  </si>
  <si>
    <t>DOMAIN 4 — FUNCTIONAL &amp; SOCIAL (Max 5 pts)</t>
  </si>
  <si>
    <t>Offloading Status</t>
  </si>
  <si>
    <t>Ambulatory / Wheelchair / Bedbound+mattress / Bedbound no mattress</t>
  </si>
  <si>
    <t>0/1/2/3</t>
  </si>
  <si>
    <t>Social Support</t>
  </si>
  <si>
    <t>Reliable 24/7 / Inconsistent / None (Functional CI)</t>
  </si>
  <si>
    <t>0 / 2 / CI</t>
  </si>
  <si>
    <t>RISK TIERS &amp; RECOMMENDED ACTION</t>
  </si>
  <si>
    <t>LOW RISK</t>
  </si>
  <si>
    <t>0–5 pts</t>
  </si>
  <si>
    <t>Proceed with flap reconstruction. Standard perioperative care.</t>
  </si>
  <si>
    <t>MODERATE RISK</t>
  </si>
  <si>
    <t>6–12 pts</t>
  </si>
  <si>
    <t>Proceed after targeted optimization (1–2 weeks).</t>
  </si>
  <si>
    <t>HIGH RISK</t>
  </si>
  <si>
    <t>13–19 pts</t>
  </si>
  <si>
    <t>Delay flap. Aggressive multidisciplinary optimization (2–4 weeks). Re-score.</t>
  </si>
  <si>
    <t>NOT AN IDEAL CANDIDATE</t>
  </si>
  <si>
    <t>≥20 pts</t>
  </si>
  <si>
    <t>Avoid major flap. Palliative and advanced wound care strategies.</t>
  </si>
  <si>
    <t>PATIENT INFORMATION</t>
  </si>
  <si>
    <t>PRE-SCREEN — ABSOLUTE CONTRAINDICATIONS</t>
  </si>
  <si>
    <t>DOMAIN 1 — BIOMARKERS &amp; NUTRITION</t>
  </si>
  <si>
    <t>DOMAIN 2 — WOUND FACTORS</t>
  </si>
  <si>
    <t>DOMAIN 3 — COMORBIDITIES</t>
  </si>
  <si>
    <t>DOMAIN 4 — FUNCTIONAL &amp; SOCIAL</t>
  </si>
  <si>
    <t>F2F SCORE SUMMARY</t>
  </si>
  <si>
    <t>OPERATIVE DETAILS</t>
  </si>
  <si>
    <t>PRE-OPERATIVE OPTIMIZATION</t>
  </si>
  <si>
    <t>Enrollment Date</t>
  </si>
  <si>
    <t>Surgery Date</t>
  </si>
  <si>
    <t>Age (yrs)</t>
  </si>
  <si>
    <t>Race / Ethnicity</t>
  </si>
  <si>
    <t>ASA Class</t>
  </si>
  <si>
    <t>Indication</t>
  </si>
  <si>
    <t>Planned Flap</t>
  </si>
  <si>
    <t>Coagulopathy</t>
  </si>
  <si>
    <t>Recent MI / Cardiac</t>
  </si>
  <si>
    <t>Metabolic Derangements</t>
  </si>
  <si>
    <t>Active Wound Infection</t>
  </si>
  <si>
    <t>Severe PVD No Revasc</t>
  </si>
  <si>
    <t>No Realistic Support</t>
  </si>
  <si>
    <t>Palliative Goals</t>
  </si>
  <si>
    <t>⚠ ABS CI STATUS</t>
  </si>
  <si>
    <t>Infection Concern?</t>
  </si>
  <si>
    <t>Pts</t>
  </si>
  <si>
    <t>PCT / Sepsis</t>
  </si>
  <si>
    <t>CRP&gt;100 or WBC≥12k?</t>
  </si>
  <si>
    <t>D1 TOTAL</t>
  </si>
  <si>
    <t>PVD (extremity only)</t>
  </si>
  <si>
    <t>Irradiated Bed?</t>
  </si>
  <si>
    <t>D2 TOTAL</t>
  </si>
  <si>
    <t>Diabetes / HbA1c</t>
  </si>
  <si>
    <t>Smoking Status</t>
  </si>
  <si>
    <t>Chronic Steroids?</t>
  </si>
  <si>
    <t>D3 TOTAL</t>
  </si>
  <si>
    <t>D4 TOTAL</t>
  </si>
  <si>
    <t>F2F TOTAL SCORE</t>
  </si>
  <si>
    <t>RISK TIER</t>
  </si>
  <si>
    <t>CI Flags</t>
  </si>
  <si>
    <t>Flap Performed</t>
  </si>
  <si>
    <t>Donor Site</t>
  </si>
  <si>
    <t>Op Time (min)</t>
  </si>
  <si>
    <t>EBL (mL)</t>
  </si>
  <si>
    <t>Anesthesia</t>
  </si>
  <si>
    <t>Pre-op Optimization?</t>
  </si>
  <si>
    <t>Optim Duration (days)</t>
  </si>
  <si>
    <t>Post-optim F2F Score</t>
  </si>
  <si>
    <t>Post-optim Tier</t>
  </si>
  <si>
    <t>Complete Flap Failure (&gt;75% loss)</t>
  </si>
  <si>
    <t>Partial Flap Failure (&gt;25% flap 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</si>
</sst>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5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111111"/>
      <name val="Arial"/>
      <family val="2"/>
    </font>
    <font>
      <sz val="10"/>
      <color rgb="FF111111"/>
      <name val="Arial"/>
      <family val="2"/>
    </font>
    <font>
      <sz val="9"/>
      <color rgb="FF444444"/>
      <name val="Arial"/>
      <family val="2"/>
    </font>
    <font>
      <b/>
      <sz val="13"/>
      <color rgb="FFFFFFFF"/>
      <name val="Arial"/>
      <family val="2"/>
    </font>
    <font>
      <b/>
      <sz val="11"/>
      <color rgb="FF111111"/>
      <name val="Arial"/>
      <family val="2"/>
    </font>
    <font>
      <sz val="9"/>
      <color rgb="FF888888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11111"/>
      <name val="Arial"/>
      <family val="2"/>
    </font>
    <font>
      <b/>
      <sz val="9"/>
      <color rgb="FF166534"/>
      <name val="Arial"/>
      <family val="2"/>
    </font>
    <font>
      <b/>
      <sz val="9"/>
      <color rgb="FF854D0E"/>
      <name val="Arial"/>
      <family val="2"/>
    </font>
    <font>
      <b/>
      <sz val="9"/>
      <color rgb="FF7C2D12"/>
      <name val="Arial"/>
      <family val="2"/>
    </font>
    <font>
      <b/>
      <sz val="9"/>
      <color rgb="FF991B1B"/>
      <name val="Arial"/>
      <family val="2"/>
    </font>
    <font>
      <i/>
      <sz val="9"/>
      <color rgb="FF888888"/>
      <name val="Arial"/>
      <family val="2"/>
    </font>
    <font>
      <b/>
      <sz val="10"/>
      <color rgb="FF111111"/>
      <name val="Arial"/>
      <family val="2"/>
    </font>
    <font>
      <sz val="11"/>
      <color theme="1"/>
      <name val="Calibri"/>
      <family val="2"/>
      <charset val="1"/>
    </font>
    <font>
      <sz val="11"/>
      <color rgb="FF000000"/>
      <name val="Arial"/>
      <family val="2"/>
    </font>
    <font>
      <b/>
      <sz val="11"/>
      <color theme="1"/>
      <name val="Calibri"/>
      <family val="2"/>
      <charset val="1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10"/>
      <color theme="0"/>
      <name val="Arial"/>
      <family val="2"/>
    </font>
    <font>
      <b/>
      <sz val="14"/>
      <color rgb="FFFFFFFF"/>
      <name val="Calibri"/>
      <family val="2"/>
      <charset val="1"/>
    </font>
    <font>
      <i/>
      <sz val="11"/>
      <color theme="1"/>
      <name val="Calibri"/>
      <family val="2"/>
      <charset val="1"/>
    </font>
  </fonts>
  <fills count="26">
    <fill>
      <patternFill patternType="none"/>
    </fill>
    <fill>
      <patternFill patternType="gray125"/>
    </fill>
    <fill>
      <patternFill patternType="solid">
        <fgColor rgb="FF0F2444"/>
        <bgColor rgb="FF111111"/>
      </patternFill>
    </fill>
    <fill>
      <patternFill patternType="solid">
        <fgColor rgb="FF991B1B"/>
        <bgColor rgb="FF7C2D12"/>
      </patternFill>
    </fill>
    <fill>
      <patternFill patternType="solid">
        <fgColor rgb="FF1E40AF"/>
        <bgColor rgb="FF2563EB"/>
      </patternFill>
    </fill>
    <fill>
      <patternFill patternType="solid">
        <fgColor rgb="FF5B21B6"/>
        <bgColor rgb="FF800080"/>
      </patternFill>
    </fill>
    <fill>
      <patternFill patternType="solid">
        <fgColor rgb="FFC2410C"/>
        <bgColor rgb="FF854D0E"/>
      </patternFill>
    </fill>
    <fill>
      <patternFill patternType="solid">
        <fgColor rgb="FF0F766E"/>
        <bgColor rgb="FF008080"/>
      </patternFill>
    </fill>
    <fill>
      <patternFill patternType="solid">
        <fgColor rgb="FFF5F5F5"/>
        <bgColor rgb="FFF5F3FF"/>
      </patternFill>
    </fill>
    <fill>
      <patternFill patternType="solid">
        <fgColor rgb="FFFFD5D5"/>
        <bgColor rgb="FFFFEDD5"/>
      </patternFill>
    </fill>
    <fill>
      <patternFill patternType="solid">
        <fgColor rgb="FFFF9999"/>
        <bgColor rgb="FFFF6666"/>
      </patternFill>
    </fill>
    <fill>
      <patternFill patternType="solid">
        <fgColor rgb="FFDBEAFE"/>
        <bgColor rgb="FFEDE9FE"/>
      </patternFill>
    </fill>
    <fill>
      <patternFill patternType="solid">
        <fgColor rgb="FFEFF6FF"/>
        <bgColor rgb="FFF5F3FF"/>
      </patternFill>
    </fill>
    <fill>
      <patternFill patternType="solid">
        <fgColor rgb="FFEDE9FE"/>
        <bgColor rgb="FFF0F0F0"/>
      </patternFill>
    </fill>
    <fill>
      <patternFill patternType="solid">
        <fgColor rgb="FFF5F3FF"/>
        <bgColor rgb="FFF5F5F5"/>
      </patternFill>
    </fill>
    <fill>
      <patternFill patternType="solid">
        <fgColor rgb="FFFFEDD5"/>
        <bgColor rgb="FFFEF9C3"/>
      </patternFill>
    </fill>
    <fill>
      <patternFill patternType="solid">
        <fgColor rgb="FFFFF7ED"/>
        <bgColor rgb="FFF5F5F5"/>
      </patternFill>
    </fill>
    <fill>
      <patternFill patternType="solid">
        <fgColor rgb="FFCCFBF1"/>
        <bgColor rgb="FFDCFCE7"/>
      </patternFill>
    </fill>
    <fill>
      <patternFill patternType="solid">
        <fgColor rgb="FFF0FDFA"/>
        <bgColor rgb="FFEFF6FF"/>
      </patternFill>
    </fill>
    <fill>
      <patternFill patternType="solid">
        <fgColor rgb="FFFFFFFF"/>
        <bgColor rgb="FFF0FDFA"/>
      </patternFill>
    </fill>
    <fill>
      <patternFill patternType="solid">
        <fgColor rgb="FFF0F0F0"/>
        <bgColor rgb="FFF5F5F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DCE5"/>
        <bgColor indexed="64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7" fillId="0" borderId="0" applyFont="0" applyFill="0" applyBorder="0" applyAlignment="0" applyProtection="0"/>
  </cellStyleXfs>
  <cellXfs count="74"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left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left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3" fillId="19" borderId="1" xfId="0" applyFont="1" applyFill="1" applyBorder="1" applyAlignment="1">
      <alignment horizontal="left" vertical="center" wrapText="1"/>
    </xf>
    <xf numFmtId="0" fontId="13" fillId="19" borderId="1" xfId="0" applyFont="1" applyFill="1" applyBorder="1" applyAlignment="1">
      <alignment horizontal="center" vertical="center" wrapText="1"/>
    </xf>
    <xf numFmtId="0" fontId="14" fillId="19" borderId="1" xfId="0" applyFont="1" applyFill="1" applyBorder="1" applyAlignment="1">
      <alignment horizontal="left" vertical="center" wrapText="1"/>
    </xf>
    <xf numFmtId="0" fontId="14" fillId="19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5" fillId="19" borderId="0" xfId="0" applyFont="1" applyFill="1" applyAlignment="1">
      <alignment horizontal="left" vertical="center" wrapText="1"/>
    </xf>
    <xf numFmtId="0" fontId="16" fillId="19" borderId="0" xfId="0" applyFont="1" applyFill="1" applyAlignment="1">
      <alignment horizontal="left" vertical="center" wrapText="1"/>
    </xf>
    <xf numFmtId="0" fontId="3" fillId="19" borderId="0" xfId="0" applyFont="1" applyFill="1" applyAlignment="1">
      <alignment horizontal="left" vertical="center" wrapText="1"/>
    </xf>
    <xf numFmtId="0" fontId="16" fillId="8" borderId="0" xfId="0" applyFont="1" applyFill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22" borderId="0" xfId="0" applyNumberFormat="1" applyFont="1" applyFill="1" applyAlignment="1">
      <alignment horizontal="center" vertical="center"/>
    </xf>
    <xf numFmtId="1" fontId="20" fillId="0" borderId="0" xfId="1" applyNumberFormat="1" applyFont="1" applyAlignment="1">
      <alignment horizontal="center" vertical="center"/>
    </xf>
    <xf numFmtId="0" fontId="21" fillId="23" borderId="0" xfId="0" applyFont="1" applyFill="1" applyAlignment="1">
      <alignment horizontal="center" vertical="center"/>
    </xf>
    <xf numFmtId="0" fontId="24" fillId="0" borderId="0" xfId="0" applyFont="1"/>
    <xf numFmtId="0" fontId="0" fillId="0" borderId="0" xfId="0" applyAlignment="1">
      <alignment wrapText="1"/>
    </xf>
    <xf numFmtId="0" fontId="24" fillId="0" borderId="0" xfId="0" applyFont="1" applyAlignment="1">
      <alignment wrapText="1"/>
    </xf>
    <xf numFmtId="0" fontId="19" fillId="25" borderId="5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0" borderId="5" xfId="0" applyBorder="1" applyAlignment="1">
      <alignment wrapText="1"/>
    </xf>
    <xf numFmtId="14" fontId="21" fillId="22" borderId="0" xfId="0" applyNumberFormat="1" applyFont="1" applyFill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/>
    </xf>
    <xf numFmtId="0" fontId="10" fillId="1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2" fillId="2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1" fillId="22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0" fillId="19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4">
    <dxf>
      <font>
        <b/>
        <sz val="10"/>
        <color rgb="FF166534"/>
        <name val="Arial"/>
        <charset val="1"/>
      </font>
      <fill>
        <patternFill>
          <bgColor rgb="FFDCFCE7"/>
        </patternFill>
      </fill>
    </dxf>
    <dxf>
      <font>
        <b/>
        <sz val="10"/>
        <color rgb="FF991B1B"/>
        <name val="Arial"/>
        <charset val="1"/>
      </font>
      <fill>
        <patternFill>
          <bgColor rgb="FFFFD5D5"/>
        </patternFill>
      </fill>
    </dxf>
    <dxf>
      <font>
        <b/>
        <sz val="10"/>
        <color rgb="FF991B1B"/>
        <name val="Arial"/>
        <charset val="1"/>
      </font>
      <fill>
        <patternFill>
          <bgColor rgb="FFFFD5D5"/>
        </patternFill>
      </fill>
    </dxf>
    <dxf>
      <font>
        <b/>
        <sz val="10"/>
        <color rgb="FF7C2D12"/>
        <name val="Arial"/>
        <charset val="1"/>
      </font>
      <fill>
        <patternFill>
          <bgColor rgb="FFFFEDD5"/>
        </patternFill>
      </fill>
    </dxf>
    <dxf>
      <font>
        <b/>
        <sz val="10"/>
        <color rgb="FF854D0E"/>
        <name val="Arial"/>
        <charset val="1"/>
      </font>
      <fill>
        <patternFill>
          <bgColor rgb="FFFEF9C3"/>
        </patternFill>
      </fill>
    </dxf>
    <dxf>
      <font>
        <b/>
        <sz val="10"/>
        <color rgb="FF166534"/>
        <name val="Arial"/>
        <charset val="1"/>
      </font>
      <fill>
        <patternFill>
          <bgColor rgb="FFDCFCE7"/>
        </patternFill>
      </fill>
    </dxf>
    <dxf>
      <fill>
        <patternFill>
          <bgColor rgb="FFDCFCE7"/>
        </patternFill>
      </fill>
    </dxf>
    <dxf>
      <fill>
        <patternFill>
          <bgColor rgb="FFFEF9C3"/>
        </patternFill>
      </fill>
    </dxf>
    <dxf>
      <fill>
        <patternFill>
          <bgColor rgb="FFFFEDD5"/>
        </patternFill>
      </fill>
    </dxf>
    <dxf>
      <fill>
        <patternFill>
          <bgColor rgb="FFFFD5D5"/>
        </patternFill>
      </fill>
    </dxf>
    <dxf>
      <font>
        <b/>
        <sz val="10"/>
        <color rgb="FF166534"/>
        <name val="Arial"/>
        <charset val="1"/>
      </font>
      <fill>
        <patternFill>
          <bgColor rgb="FFDCFCE7"/>
        </patternFill>
      </fill>
    </dxf>
    <dxf>
      <font>
        <b/>
        <sz val="10"/>
        <color rgb="FFFFFFFF"/>
        <name val="Arial"/>
        <charset val="1"/>
      </font>
      <fill>
        <patternFill>
          <bgColor rgb="FFFF6666"/>
        </patternFill>
      </fill>
    </dxf>
    <dxf>
      <font>
        <b/>
        <sz val="10"/>
        <color rgb="FF166534"/>
        <name val="Arial"/>
        <charset val="1"/>
      </font>
      <fill>
        <patternFill>
          <bgColor rgb="FFDCFCE7"/>
        </patternFill>
      </fill>
    </dxf>
    <dxf>
      <font>
        <b/>
        <sz val="10"/>
        <color rgb="FF991B1B"/>
        <name val="Arial"/>
        <charset val="1"/>
      </font>
      <fill>
        <patternFill>
          <bgColor rgb="FFFFD5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7ED"/>
      <rgbColor rgb="FFFF00FF"/>
      <rgbColor rgb="FF00FFFF"/>
      <rgbColor rgb="FF991B1B"/>
      <rgbColor rgb="FF166534"/>
      <rgbColor rgb="FF000080"/>
      <rgbColor rgb="FF808000"/>
      <rgbColor rgb="FF5B21B6"/>
      <rgbColor rgb="FF0F766E"/>
      <rgbColor rgb="FFCCCCCC"/>
      <rgbColor rgb="FF888888"/>
      <rgbColor rgb="FFF5F3FF"/>
      <rgbColor rgb="FF854D0E"/>
      <rgbColor rgb="FFFEF9C3"/>
      <rgbColor rgb="FFCCFBF1"/>
      <rgbColor rgb="FF660066"/>
      <rgbColor rgb="FFFF6666"/>
      <rgbColor rgb="FF0066CC"/>
      <rgbColor rgb="FFDBEAFE"/>
      <rgbColor rgb="FF000080"/>
      <rgbColor rgb="FFFF00FF"/>
      <rgbColor rgb="FFF5F5F5"/>
      <rgbColor rgb="FF00FFFF"/>
      <rgbColor rgb="FF800080"/>
      <rgbColor rgb="FF800000"/>
      <rgbColor rgb="FF008080"/>
      <rgbColor rgb="FF0000FF"/>
      <rgbColor rgb="FF00CCFF"/>
      <rgbColor rgb="FFDCFCE7"/>
      <rgbColor rgb="FFF0FDFA"/>
      <rgbColor rgb="FFFFEDD5"/>
      <rgbColor rgb="FFEDE9FE"/>
      <rgbColor rgb="FFFF9999"/>
      <rgbColor rgb="FFF0F0F0"/>
      <rgbColor rgb="FFFFD5D5"/>
      <rgbColor rgb="FF2563EB"/>
      <rgbColor rgb="FF33CCCC"/>
      <rgbColor rgb="FF99CC00"/>
      <rgbColor rgb="FFEFF6FF"/>
      <rgbColor rgb="FFFF9900"/>
      <rgbColor rgb="FFFF6600"/>
      <rgbColor rgb="FF666699"/>
      <rgbColor rgb="FF969696"/>
      <rgbColor rgb="FF0F2444"/>
      <rgbColor rgb="FF339966"/>
      <rgbColor rgb="FF111111"/>
      <rgbColor rgb="FF333300"/>
      <rgbColor rgb="FF7C2D12"/>
      <rgbColor rgb="FFC2410C"/>
      <rgbColor rgb="FF1E40AF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4CE75-6109-6545-AFE4-EE8324E3093F}">
  <dimension ref="A1:AE2"/>
  <sheetViews>
    <sheetView tabSelected="1" topLeftCell="O1" zoomScale="180" zoomScaleNormal="180" workbookViewId="0">
      <selection activeCell="U3" sqref="U3"/>
    </sheetView>
  </sheetViews>
  <sheetFormatPr baseColWidth="10" defaultColWidth="10.83203125" defaultRowHeight="15" x14ac:dyDescent="0.2"/>
  <cols>
    <col min="1" max="1" width="10.83203125" style="38"/>
    <col min="2" max="2" width="18.33203125" style="38" customWidth="1"/>
    <col min="3" max="5" width="13.5" style="38" customWidth="1"/>
    <col min="6" max="6" width="10.83203125" style="40"/>
    <col min="7" max="7" width="10.83203125" style="41"/>
    <col min="8" max="8" width="14" style="38" customWidth="1"/>
    <col min="9" max="9" width="16.33203125" style="38" customWidth="1"/>
    <col min="10" max="10" width="15.83203125" style="41" customWidth="1"/>
    <col min="11" max="11" width="17.33203125" style="38" customWidth="1"/>
    <col min="12" max="12" width="16.5" style="38" customWidth="1"/>
    <col min="13" max="13" width="16.83203125" style="38" customWidth="1"/>
    <col min="14" max="14" width="11.5"/>
    <col min="15" max="16" width="10.83203125" style="38"/>
    <col min="17" max="17" width="20.1640625" style="38" customWidth="1"/>
    <col min="18" max="18" width="22.83203125" style="38" customWidth="1"/>
    <col min="19" max="30" width="10.83203125" style="38"/>
    <col min="31" max="31" width="54" style="38" customWidth="1"/>
    <col min="32" max="16384" width="10.83203125" style="38"/>
  </cols>
  <sheetData>
    <row r="1" spans="1:31" ht="15" customHeight="1" x14ac:dyDescent="0.2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51" t="s">
        <v>5</v>
      </c>
      <c r="G1" s="42"/>
      <c r="H1" s="54"/>
      <c r="I1" s="54"/>
      <c r="J1" s="42"/>
      <c r="K1" s="60" t="s">
        <v>6</v>
      </c>
      <c r="L1" s="57" t="s">
        <v>7</v>
      </c>
      <c r="M1" s="57"/>
      <c r="N1" s="58" t="s">
        <v>8</v>
      </c>
      <c r="O1" s="58"/>
      <c r="P1" s="58"/>
      <c r="Q1" s="58"/>
      <c r="R1" s="58"/>
      <c r="S1" s="58"/>
      <c r="T1" s="58"/>
      <c r="U1" s="58"/>
      <c r="V1" s="59" t="s">
        <v>9</v>
      </c>
      <c r="W1" s="59"/>
      <c r="X1" s="59"/>
      <c r="Y1" s="59"/>
      <c r="Z1" s="59"/>
      <c r="AA1" s="59"/>
      <c r="AB1" s="59"/>
      <c r="AC1" s="59" t="s">
        <v>10</v>
      </c>
      <c r="AD1" s="59"/>
      <c r="AE1" s="59"/>
    </row>
    <row r="2" spans="1:31" ht="52" x14ac:dyDescent="0.2">
      <c r="A2" s="61"/>
      <c r="B2" s="61"/>
      <c r="C2" s="61"/>
      <c r="D2" s="61"/>
      <c r="E2" s="61"/>
      <c r="F2" s="60" t="s">
        <v>11</v>
      </c>
      <c r="G2" s="60"/>
      <c r="H2" s="54" t="s">
        <v>12</v>
      </c>
      <c r="I2" s="60" t="s">
        <v>13</v>
      </c>
      <c r="J2" s="60"/>
      <c r="K2" s="60"/>
      <c r="L2" s="52" t="s">
        <v>14</v>
      </c>
      <c r="M2" s="44" t="s">
        <v>15</v>
      </c>
      <c r="N2" s="2" t="s">
        <v>275</v>
      </c>
      <c r="O2" s="2" t="s">
        <v>276</v>
      </c>
      <c r="P2" s="2" t="s">
        <v>16</v>
      </c>
      <c r="Q2" s="2" t="s">
        <v>17</v>
      </c>
      <c r="R2" s="2" t="s">
        <v>18</v>
      </c>
      <c r="S2" s="2" t="s">
        <v>19</v>
      </c>
      <c r="T2" s="3" t="s">
        <v>20</v>
      </c>
      <c r="U2" s="2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</row>
  </sheetData>
  <mergeCells count="12">
    <mergeCell ref="A1:A2"/>
    <mergeCell ref="B1:B2"/>
    <mergeCell ref="C1:C2"/>
    <mergeCell ref="D1:D2"/>
    <mergeCell ref="E1:E2"/>
    <mergeCell ref="L1:M1"/>
    <mergeCell ref="N1:U1"/>
    <mergeCell ref="V1:AB1"/>
    <mergeCell ref="AC1:AE1"/>
    <mergeCell ref="F2:G2"/>
    <mergeCell ref="I2:J2"/>
    <mergeCell ref="K1:K2"/>
  </mergeCells>
  <conditionalFormatting sqref="T3:T12">
    <cfRule type="expression" dxfId="13" priority="1">
      <formula>LEFT(T3,3)="YES"</formula>
    </cfRule>
    <cfRule type="expression" dxfId="12" priority="2">
      <formula>T3="NO event"</formula>
    </cfRule>
  </conditionalFormatting>
  <dataValidations count="7">
    <dataValidation type="list" allowBlank="1" showInputMessage="1" showErrorMessage="1" sqref="E3:E100" xr:uid="{9CC48172-B11A-5242-BE14-58A01CA30392}">
      <formula1>"M,F"</formula1>
    </dataValidation>
    <dataValidation type="list" allowBlank="1" showInputMessage="1" showErrorMessage="1" sqref="M3:M100" xr:uid="{0EB51A07-CFD1-C54E-8D14-E9F6B4086E6C}">
      <formula1>"Local rotational,Perforator based,Pedicled musculocutaneous,Free flap,Other"</formula1>
    </dataValidation>
    <dataValidation type="list" allowBlank="1" showErrorMessage="1" errorTitle="Invalid" error="Select from list." sqref="U3:U10" xr:uid="{78754965-EA41-9244-8ACA-98DFC440F3C3}">
      <formula1>"I,II,IIIa,IIIb,IVa,IVb,V,N/A"</formula1>
      <formula2>0</formula2>
    </dataValidation>
    <dataValidation type="list" allowBlank="1" showErrorMessage="1" errorTitle="Invalid" error="Enter Y, N, or Unknown." sqref="AA3:AB10 X3:Y10 V3:V10 N3:S10" xr:uid="{3F91E839-8C61-D14B-96E4-9434183D3F5F}">
      <formula1>"Y,N,Unknown"</formula1>
      <formula2>0</formula2>
    </dataValidation>
    <dataValidation type="list" allowBlank="1" showErrorMessage="1" errorTitle="Invalid" error="Enter Y or N." sqref="AC3:AD10" xr:uid="{BC759E44-C0EF-F849-BC8F-58A966F1F621}">
      <formula1>"Y,N"</formula1>
      <formula2>0</formula2>
    </dataValidation>
    <dataValidation type="decimal" allowBlank="1" sqref="Z3:Z10" xr:uid="{0B908585-4C57-9649-A223-CD6981F64DEC}">
      <formula1>0</formula1>
      <formula2>0</formula2>
    </dataValidation>
    <dataValidation type="list" allowBlank="1" showInputMessage="1" showErrorMessage="1" sqref="W3:W100" xr:uid="{73EB3D76-6985-F346-A28D-9449F60270AF}">
      <formula1>"Minor dehiscence,Minor local superficial infection,Granuloma,Small seroma / hematoma,Other"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A1:C28"/>
  <sheetViews>
    <sheetView zoomScaleNormal="100" workbookViewId="0">
      <selection activeCell="B5" sqref="B5"/>
    </sheetView>
  </sheetViews>
  <sheetFormatPr baseColWidth="10" defaultColWidth="8.6640625" defaultRowHeight="15" x14ac:dyDescent="0.2"/>
  <cols>
    <col min="1" max="1" width="32" bestFit="1" customWidth="1"/>
    <col min="2" max="2" width="73.6640625" customWidth="1"/>
    <col min="3" max="3" width="22" customWidth="1"/>
  </cols>
  <sheetData>
    <row r="1" spans="1:3" ht="30" customHeight="1" x14ac:dyDescent="0.2">
      <c r="A1" s="62" t="s">
        <v>61</v>
      </c>
      <c r="B1" s="62"/>
      <c r="C1" s="62"/>
    </row>
    <row r="2" spans="1:3" ht="21.75" customHeight="1" x14ac:dyDescent="0.2">
      <c r="A2" s="31" t="s">
        <v>62</v>
      </c>
      <c r="B2" s="32"/>
      <c r="C2" s="33"/>
    </row>
    <row r="3" spans="1:3" ht="21.75" customHeight="1" x14ac:dyDescent="0.2">
      <c r="A3" s="34" t="s">
        <v>63</v>
      </c>
      <c r="B3" s="35" t="s">
        <v>64</v>
      </c>
      <c r="C3" s="33"/>
    </row>
    <row r="4" spans="1:3" ht="21.75" customHeight="1" x14ac:dyDescent="0.2">
      <c r="A4" s="36" t="s">
        <v>65</v>
      </c>
      <c r="B4" s="35" t="s">
        <v>66</v>
      </c>
      <c r="C4" s="33" t="s">
        <v>67</v>
      </c>
    </row>
    <row r="5" spans="1:3" ht="21.75" customHeight="1" x14ac:dyDescent="0.2">
      <c r="A5" s="34" t="s">
        <v>68</v>
      </c>
      <c r="B5" s="35" t="s">
        <v>69</v>
      </c>
      <c r="C5" s="33"/>
    </row>
    <row r="6" spans="1:3" ht="21.75" customHeight="1" x14ac:dyDescent="0.2">
      <c r="A6" s="36" t="s">
        <v>70</v>
      </c>
      <c r="B6" s="35" t="s">
        <v>71</v>
      </c>
      <c r="C6" s="33"/>
    </row>
    <row r="7" spans="1:3" ht="21.75" customHeight="1" x14ac:dyDescent="0.2">
      <c r="A7" s="34" t="s">
        <v>72</v>
      </c>
      <c r="B7" s="35" t="s">
        <v>73</v>
      </c>
      <c r="C7" s="33"/>
    </row>
    <row r="8" spans="1:3" ht="21.75" customHeight="1" x14ac:dyDescent="0.2">
      <c r="A8" s="36" t="s">
        <v>74</v>
      </c>
      <c r="B8" s="35" t="s">
        <v>75</v>
      </c>
      <c r="C8" s="33" t="s">
        <v>76</v>
      </c>
    </row>
    <row r="9" spans="1:3" ht="21.75" customHeight="1" x14ac:dyDescent="0.2">
      <c r="A9" s="34" t="s">
        <v>77</v>
      </c>
      <c r="B9" s="35" t="s">
        <v>78</v>
      </c>
      <c r="C9" s="33" t="s">
        <v>79</v>
      </c>
    </row>
    <row r="10" spans="1:3" ht="21.75" customHeight="1" x14ac:dyDescent="0.2">
      <c r="A10" s="36" t="s">
        <v>80</v>
      </c>
      <c r="B10" s="35" t="s">
        <v>81</v>
      </c>
      <c r="C10" s="33" t="s">
        <v>79</v>
      </c>
    </row>
    <row r="11" spans="1:3" ht="21.75" customHeight="1" x14ac:dyDescent="0.2">
      <c r="A11" s="34" t="s">
        <v>82</v>
      </c>
      <c r="B11" s="35" t="s">
        <v>83</v>
      </c>
      <c r="C11" s="33"/>
    </row>
    <row r="12" spans="1:3" ht="21.75" customHeight="1" x14ac:dyDescent="0.2">
      <c r="A12" s="36" t="s">
        <v>84</v>
      </c>
      <c r="B12" s="35" t="s">
        <v>85</v>
      </c>
      <c r="C12" s="33"/>
    </row>
    <row r="13" spans="1:3" ht="21.75" customHeight="1" x14ac:dyDescent="0.2">
      <c r="A13" s="35"/>
      <c r="B13" s="35"/>
      <c r="C13" s="33"/>
    </row>
    <row r="14" spans="1:3" ht="21.75" customHeight="1" x14ac:dyDescent="0.2">
      <c r="A14" s="31" t="s">
        <v>86</v>
      </c>
      <c r="B14" s="32"/>
      <c r="C14" s="33"/>
    </row>
    <row r="15" spans="1:3" ht="21.75" customHeight="1" x14ac:dyDescent="0.2">
      <c r="A15" s="34" t="s">
        <v>87</v>
      </c>
      <c r="B15" s="35" t="s">
        <v>88</v>
      </c>
      <c r="C15" s="33" t="s">
        <v>89</v>
      </c>
    </row>
    <row r="16" spans="1:3" ht="21.75" customHeight="1" x14ac:dyDescent="0.2">
      <c r="A16" s="36" t="s">
        <v>90</v>
      </c>
      <c r="B16" s="35" t="s">
        <v>91</v>
      </c>
      <c r="C16" s="33" t="s">
        <v>92</v>
      </c>
    </row>
    <row r="17" spans="1:3" ht="21.75" customHeight="1" x14ac:dyDescent="0.2">
      <c r="A17" s="34" t="s">
        <v>93</v>
      </c>
      <c r="B17" s="35" t="s">
        <v>94</v>
      </c>
      <c r="C17" s="33"/>
    </row>
    <row r="18" spans="1:3" ht="21.75" customHeight="1" x14ac:dyDescent="0.2">
      <c r="A18" s="36" t="s">
        <v>95</v>
      </c>
      <c r="B18" s="35" t="s">
        <v>96</v>
      </c>
      <c r="C18" s="33"/>
    </row>
    <row r="19" spans="1:3" ht="21.75" customHeight="1" x14ac:dyDescent="0.2">
      <c r="A19" s="35"/>
      <c r="B19" s="35"/>
      <c r="C19" s="33"/>
    </row>
    <row r="20" spans="1:3" ht="21.75" customHeight="1" x14ac:dyDescent="0.2">
      <c r="A20" s="31" t="s">
        <v>97</v>
      </c>
      <c r="B20" s="32"/>
      <c r="C20" s="33"/>
    </row>
    <row r="21" spans="1:3" ht="21.75" customHeight="1" x14ac:dyDescent="0.2">
      <c r="A21" s="34" t="s">
        <v>98</v>
      </c>
      <c r="B21" s="35" t="s">
        <v>99</v>
      </c>
      <c r="C21" s="33"/>
    </row>
    <row r="22" spans="1:3" ht="21.75" customHeight="1" x14ac:dyDescent="0.2">
      <c r="A22" s="36" t="s">
        <v>100</v>
      </c>
      <c r="B22" s="35" t="s">
        <v>101</v>
      </c>
      <c r="C22" s="33" t="s">
        <v>102</v>
      </c>
    </row>
    <row r="23" spans="1:3" ht="21.75" customHeight="1" x14ac:dyDescent="0.2">
      <c r="A23" s="34" t="s">
        <v>103</v>
      </c>
      <c r="B23" s="35" t="s">
        <v>104</v>
      </c>
      <c r="C23" s="33"/>
    </row>
    <row r="24" spans="1:3" ht="21.75" customHeight="1" x14ac:dyDescent="0.2">
      <c r="A24" s="36" t="s">
        <v>105</v>
      </c>
      <c r="B24" s="35" t="s">
        <v>106</v>
      </c>
      <c r="C24" s="33"/>
    </row>
    <row r="25" spans="1:3" ht="21.75" customHeight="1" x14ac:dyDescent="0.2">
      <c r="A25" s="35"/>
      <c r="B25" s="35"/>
      <c r="C25" s="33"/>
    </row>
    <row r="26" spans="1:3" ht="21.75" customHeight="1" x14ac:dyDescent="0.2">
      <c r="A26" s="31" t="s">
        <v>107</v>
      </c>
      <c r="B26" s="32"/>
      <c r="C26" s="33"/>
    </row>
    <row r="27" spans="1:3" ht="21.75" customHeight="1" x14ac:dyDescent="0.2">
      <c r="A27" s="35" t="s">
        <v>108</v>
      </c>
      <c r="B27" s="35" t="s">
        <v>109</v>
      </c>
      <c r="C27" s="33"/>
    </row>
    <row r="28" spans="1:3" ht="21.75" customHeight="1" x14ac:dyDescent="0.2">
      <c r="A28" s="37" t="s">
        <v>110</v>
      </c>
      <c r="B28" s="35" t="s">
        <v>111</v>
      </c>
      <c r="C28" s="33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02541-A844-F946-9900-E787DDA19733}">
  <dimension ref="A1:B11"/>
  <sheetViews>
    <sheetView workbookViewId="0">
      <selection activeCell="B19" sqref="B19"/>
    </sheetView>
  </sheetViews>
  <sheetFormatPr baseColWidth="10" defaultColWidth="11.5" defaultRowHeight="15" x14ac:dyDescent="0.2"/>
  <cols>
    <col min="1" max="1" width="13.33203125" customWidth="1"/>
    <col min="2" max="2" width="83.33203125" customWidth="1"/>
  </cols>
  <sheetData>
    <row r="1" spans="1:2" ht="19" x14ac:dyDescent="0.25">
      <c r="A1" s="63" t="s">
        <v>112</v>
      </c>
      <c r="B1" s="63"/>
    </row>
    <row r="2" spans="1:2" x14ac:dyDescent="0.2">
      <c r="A2" s="48" t="s">
        <v>113</v>
      </c>
      <c r="B2" s="48" t="s">
        <v>114</v>
      </c>
    </row>
    <row r="3" spans="1:2" ht="64" x14ac:dyDescent="0.2">
      <c r="A3" s="49" t="s">
        <v>115</v>
      </c>
      <c r="B3" s="50" t="s">
        <v>116</v>
      </c>
    </row>
    <row r="4" spans="1:2" ht="32" x14ac:dyDescent="0.2">
      <c r="A4" s="49" t="s">
        <v>117</v>
      </c>
      <c r="B4" s="50" t="s">
        <v>118</v>
      </c>
    </row>
    <row r="5" spans="1:2" ht="16" x14ac:dyDescent="0.2">
      <c r="A5" s="49" t="s">
        <v>119</v>
      </c>
      <c r="B5" s="50" t="s">
        <v>120</v>
      </c>
    </row>
    <row r="6" spans="1:2" ht="16" x14ac:dyDescent="0.2">
      <c r="A6" s="49" t="s">
        <v>121</v>
      </c>
      <c r="B6" s="50" t="s">
        <v>122</v>
      </c>
    </row>
    <row r="7" spans="1:2" ht="32" x14ac:dyDescent="0.2">
      <c r="A7" s="49" t="s">
        <v>123</v>
      </c>
      <c r="B7" s="50" t="s">
        <v>124</v>
      </c>
    </row>
    <row r="8" spans="1:2" ht="32" x14ac:dyDescent="0.2">
      <c r="A8" s="49" t="s">
        <v>125</v>
      </c>
      <c r="B8" s="50" t="s">
        <v>126</v>
      </c>
    </row>
    <row r="9" spans="1:2" ht="16" x14ac:dyDescent="0.2">
      <c r="A9" s="49" t="s">
        <v>127</v>
      </c>
      <c r="B9" s="50" t="s">
        <v>128</v>
      </c>
    </row>
    <row r="10" spans="1:2" x14ac:dyDescent="0.2">
      <c r="B10" s="46"/>
    </row>
    <row r="11" spans="1:2" ht="48" x14ac:dyDescent="0.2">
      <c r="A11" s="45" t="s">
        <v>129</v>
      </c>
      <c r="B11" s="47" t="s">
        <v>130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66534"/>
  </sheetPr>
  <dimension ref="A1:C22"/>
  <sheetViews>
    <sheetView zoomScaleNormal="100" workbookViewId="0">
      <pane ySplit="2" topLeftCell="A3" activePane="bottomLeft" state="frozen"/>
      <selection pane="bottomLeft" sqref="A1:C1"/>
    </sheetView>
  </sheetViews>
  <sheetFormatPr baseColWidth="10" defaultColWidth="8.6640625" defaultRowHeight="15" x14ac:dyDescent="0.2"/>
  <cols>
    <col min="1" max="1" width="32" customWidth="1"/>
    <col min="2" max="2" width="20" customWidth="1"/>
    <col min="3" max="3" width="16" customWidth="1"/>
  </cols>
  <sheetData>
    <row r="1" spans="1:3" ht="30" customHeight="1" x14ac:dyDescent="0.2">
      <c r="A1" s="64" t="s">
        <v>131</v>
      </c>
      <c r="B1" s="64"/>
      <c r="C1" s="64"/>
    </row>
    <row r="2" spans="1:3" x14ac:dyDescent="0.2">
      <c r="A2" s="53" t="s">
        <v>132</v>
      </c>
      <c r="B2" s="53" t="s">
        <v>133</v>
      </c>
      <c r="C2" s="53" t="s">
        <v>134</v>
      </c>
    </row>
    <row r="3" spans="1:3" x14ac:dyDescent="0.2">
      <c r="A3" s="15" t="s">
        <v>135</v>
      </c>
      <c r="B3" s="16">
        <f>COUNTA('Don’t use Patient Data'!A3:A202)</f>
        <v>0</v>
      </c>
      <c r="C3" s="17" t="s">
        <v>136</v>
      </c>
    </row>
    <row r="4" spans="1:3" x14ac:dyDescent="0.2">
      <c r="A4" s="15" t="s">
        <v>137</v>
      </c>
      <c r="B4" s="16">
        <f>COUNTA('Don’t use Patient Data'!C3:C202)</f>
        <v>0</v>
      </c>
      <c r="C4" s="17" t="s">
        <v>136</v>
      </c>
    </row>
    <row r="5" spans="1:3" x14ac:dyDescent="0.2">
      <c r="A5" s="15" t="s">
        <v>138</v>
      </c>
      <c r="B5" s="16">
        <f>COUNTIF('Don’t use Patient Data'!CN3:CN202,"Y")</f>
        <v>0</v>
      </c>
      <c r="C5" s="17"/>
    </row>
    <row r="6" spans="1:3" x14ac:dyDescent="0.2">
      <c r="A6" s="15" t="s">
        <v>139</v>
      </c>
      <c r="B6" s="16">
        <f>COUNTIF('Don’t use Patient Data'!CO3:CO202,"Y")</f>
        <v>0</v>
      </c>
      <c r="C6" s="17"/>
    </row>
    <row r="7" spans="1:3" x14ac:dyDescent="0.2">
      <c r="A7" s="15" t="s">
        <v>140</v>
      </c>
      <c r="B7" s="16">
        <f>COUNTIF('Don’t use Patient Data'!CC3:CC202,"YES — EVENT")</f>
        <v>0</v>
      </c>
      <c r="C7" s="17"/>
    </row>
    <row r="8" spans="1:3" ht="26" x14ac:dyDescent="0.2">
      <c r="A8" s="15" t="s">
        <v>141</v>
      </c>
      <c r="B8" s="16" t="str">
        <f>IFERROR(COUNTIF('Don’t use Patient Data'!CC3:CC202,"YES — EVENT")/COUNTIF('Don’t use Patient Data'!CN3:CN202,"Y")*100,"—")</f>
        <v>—</v>
      </c>
      <c r="C8" s="17" t="s">
        <v>142</v>
      </c>
    </row>
    <row r="9" spans="1:3" x14ac:dyDescent="0.2">
      <c r="A9" s="18"/>
      <c r="C9" s="17"/>
    </row>
    <row r="10" spans="1:3" x14ac:dyDescent="0.2">
      <c r="A10" s="19" t="s">
        <v>143</v>
      </c>
      <c r="C10" s="17"/>
    </row>
    <row r="11" spans="1:3" x14ac:dyDescent="0.2">
      <c r="A11" s="15" t="s">
        <v>144</v>
      </c>
      <c r="B11" s="16">
        <f>COUNTIF('Don’t use Patient Data'!BK3:BK202,"LOW RISK")</f>
        <v>200</v>
      </c>
      <c r="C11" s="17" t="s">
        <v>145</v>
      </c>
    </row>
    <row r="12" spans="1:3" x14ac:dyDescent="0.2">
      <c r="A12" s="15" t="s">
        <v>146</v>
      </c>
      <c r="B12" s="16">
        <f>COUNTIF('Don’t use Patient Data'!BK3:BK202,"MODERATE RISK")</f>
        <v>0</v>
      </c>
      <c r="C12" s="17" t="s">
        <v>147</v>
      </c>
    </row>
    <row r="13" spans="1:3" x14ac:dyDescent="0.2">
      <c r="A13" s="15" t="s">
        <v>148</v>
      </c>
      <c r="B13" s="16">
        <f>COUNTIF('Don’t use Patient Data'!BK3:BK202,"HIGH RISK")</f>
        <v>0</v>
      </c>
      <c r="C13" s="17" t="s">
        <v>149</v>
      </c>
    </row>
    <row r="14" spans="1:3" x14ac:dyDescent="0.2">
      <c r="A14" s="15" t="s">
        <v>150</v>
      </c>
      <c r="B14" s="16">
        <f>COUNTIF('Don’t use Patient Data'!BK3:BK202,"NOT AN IDEAL CANDIDATE")</f>
        <v>0</v>
      </c>
      <c r="C14" s="17" t="s">
        <v>151</v>
      </c>
    </row>
    <row r="15" spans="1:3" x14ac:dyDescent="0.2">
      <c r="A15" s="18"/>
      <c r="C15" s="17"/>
    </row>
    <row r="16" spans="1:3" x14ac:dyDescent="0.2">
      <c r="A16" s="19" t="s">
        <v>152</v>
      </c>
      <c r="C16" s="17"/>
    </row>
    <row r="17" spans="1:3" ht="28" x14ac:dyDescent="0.2">
      <c r="A17" s="15" t="s">
        <v>153</v>
      </c>
      <c r="B17" s="16">
        <f>COUNTIF('Don’t use Patient Data'!BR3:BR202,"Y")</f>
        <v>0</v>
      </c>
      <c r="C17" s="17"/>
    </row>
    <row r="18" spans="1:3" x14ac:dyDescent="0.2">
      <c r="A18" s="15" t="s">
        <v>154</v>
      </c>
      <c r="B18" s="16">
        <f>COUNTIF('Don’t use Patient Data'!T3:T202,"STOP — ABS CI PRESENT")</f>
        <v>0</v>
      </c>
      <c r="C18" s="17"/>
    </row>
    <row r="19" spans="1:3" x14ac:dyDescent="0.2">
      <c r="A19" s="18"/>
      <c r="C19" s="17"/>
    </row>
    <row r="20" spans="1:3" x14ac:dyDescent="0.2">
      <c r="A20" s="19" t="s">
        <v>155</v>
      </c>
      <c r="C20" s="17"/>
    </row>
    <row r="21" spans="1:3" x14ac:dyDescent="0.2">
      <c r="A21" s="15" t="s">
        <v>156</v>
      </c>
      <c r="B21" s="16">
        <f>COUNTIF('Don’t use Patient Data'!A3:A202,"&lt;&gt;")-COUNTA('Don’t use Patient Data'!C3:C202)</f>
        <v>0</v>
      </c>
      <c r="C21" s="17"/>
    </row>
    <row r="22" spans="1:3" x14ac:dyDescent="0.2">
      <c r="A22" s="15" t="s">
        <v>157</v>
      </c>
      <c r="B22" s="16">
        <f>COUNTA('Don’t use Patient Data'!C3:C202)-COUNTIF('Don’t use Patient Data'!CN3:CN202,"Y")</f>
        <v>0</v>
      </c>
      <c r="C22" s="17"/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F2444"/>
  </sheetPr>
  <dimension ref="A1:D36"/>
  <sheetViews>
    <sheetView topLeftCell="A10" zoomScaleNormal="100" workbookViewId="0">
      <selection activeCell="C47" sqref="C47"/>
    </sheetView>
  </sheetViews>
  <sheetFormatPr baseColWidth="10" defaultColWidth="8.6640625" defaultRowHeight="15" x14ac:dyDescent="0.2"/>
  <cols>
    <col min="1" max="1" width="32.5" customWidth="1"/>
    <col min="2" max="2" width="44.6640625" customWidth="1"/>
    <col min="3" max="3" width="38.83203125" customWidth="1"/>
    <col min="4" max="4" width="10" customWidth="1"/>
  </cols>
  <sheetData>
    <row r="1" spans="1:4" ht="30" customHeight="1" x14ac:dyDescent="0.2">
      <c r="A1" s="65" t="s">
        <v>158</v>
      </c>
      <c r="B1" s="65"/>
      <c r="C1" s="65"/>
      <c r="D1" s="65"/>
    </row>
    <row r="2" spans="1:4" ht="21.75" customHeight="1" x14ac:dyDescent="0.2">
      <c r="A2" s="66" t="s">
        <v>159</v>
      </c>
      <c r="B2" s="66"/>
      <c r="C2" s="66"/>
      <c r="D2" s="66"/>
    </row>
    <row r="3" spans="1:4" x14ac:dyDescent="0.2">
      <c r="A3" s="20" t="s">
        <v>160</v>
      </c>
      <c r="B3" s="20" t="s">
        <v>161</v>
      </c>
      <c r="C3" s="20" t="s">
        <v>162</v>
      </c>
      <c r="D3" s="20" t="s">
        <v>31</v>
      </c>
    </row>
    <row r="4" spans="1:4" ht="18" customHeight="1" x14ac:dyDescent="0.2">
      <c r="A4" s="21" t="s">
        <v>163</v>
      </c>
      <c r="B4" s="55" t="s">
        <v>164</v>
      </c>
      <c r="C4" s="22" t="s">
        <v>165</v>
      </c>
      <c r="D4" s="55"/>
    </row>
    <row r="5" spans="1:4" ht="18" customHeight="1" x14ac:dyDescent="0.2">
      <c r="A5" s="21" t="s">
        <v>166</v>
      </c>
      <c r="B5" s="55" t="s">
        <v>167</v>
      </c>
      <c r="C5" s="22" t="s">
        <v>168</v>
      </c>
      <c r="D5" s="55"/>
    </row>
    <row r="6" spans="1:4" ht="18" customHeight="1" x14ac:dyDescent="0.2">
      <c r="A6" s="21" t="s">
        <v>169</v>
      </c>
      <c r="B6" s="55" t="s">
        <v>170</v>
      </c>
      <c r="C6" s="22" t="s">
        <v>171</v>
      </c>
      <c r="D6" s="55"/>
    </row>
    <row r="7" spans="1:4" ht="18" customHeight="1" x14ac:dyDescent="0.2">
      <c r="A7" s="21" t="s">
        <v>172</v>
      </c>
      <c r="B7" s="55" t="s">
        <v>173</v>
      </c>
      <c r="C7" s="22" t="s">
        <v>174</v>
      </c>
      <c r="D7" s="55"/>
    </row>
    <row r="8" spans="1:4" ht="18" customHeight="1" x14ac:dyDescent="0.2">
      <c r="A8" s="21" t="s">
        <v>175</v>
      </c>
      <c r="B8" s="55" t="s">
        <v>176</v>
      </c>
      <c r="C8" s="22" t="s">
        <v>177</v>
      </c>
      <c r="D8" s="55"/>
    </row>
    <row r="10" spans="1:4" ht="21.75" customHeight="1" x14ac:dyDescent="0.2">
      <c r="A10" s="67" t="s">
        <v>178</v>
      </c>
      <c r="B10" s="67"/>
      <c r="C10" s="67"/>
      <c r="D10" s="67"/>
    </row>
    <row r="11" spans="1:4" x14ac:dyDescent="0.2">
      <c r="A11" s="20" t="s">
        <v>160</v>
      </c>
      <c r="B11" s="20" t="s">
        <v>161</v>
      </c>
      <c r="C11" s="20" t="s">
        <v>162</v>
      </c>
      <c r="D11" s="20" t="s">
        <v>31</v>
      </c>
    </row>
    <row r="12" spans="1:4" ht="18" customHeight="1" x14ac:dyDescent="0.2">
      <c r="A12" s="21" t="s">
        <v>179</v>
      </c>
      <c r="B12" s="55" t="s">
        <v>180</v>
      </c>
      <c r="C12" s="22" t="s">
        <v>171</v>
      </c>
      <c r="D12" s="55"/>
    </row>
    <row r="13" spans="1:4" ht="18" customHeight="1" x14ac:dyDescent="0.2">
      <c r="A13" s="21" t="s">
        <v>181</v>
      </c>
      <c r="B13" s="55" t="s">
        <v>182</v>
      </c>
      <c r="C13" s="22" t="s">
        <v>168</v>
      </c>
      <c r="D13" s="55"/>
    </row>
    <row r="14" spans="1:4" ht="18" customHeight="1" x14ac:dyDescent="0.2">
      <c r="A14" s="21" t="s">
        <v>183</v>
      </c>
      <c r="B14" s="55" t="s">
        <v>184</v>
      </c>
      <c r="C14" s="22" t="s">
        <v>171</v>
      </c>
      <c r="D14" s="55"/>
    </row>
    <row r="15" spans="1:4" ht="18" customHeight="1" x14ac:dyDescent="0.2">
      <c r="A15" s="21" t="s">
        <v>185</v>
      </c>
      <c r="B15" s="55" t="s">
        <v>186</v>
      </c>
      <c r="C15" s="22" t="s">
        <v>187</v>
      </c>
      <c r="D15" s="55"/>
    </row>
    <row r="16" spans="1:4" ht="18" customHeight="1" x14ac:dyDescent="0.2">
      <c r="A16" s="21" t="s">
        <v>188</v>
      </c>
      <c r="B16" s="55" t="s">
        <v>189</v>
      </c>
      <c r="C16" s="22" t="s">
        <v>168</v>
      </c>
      <c r="D16" s="55"/>
    </row>
    <row r="17" spans="1:4" ht="18" customHeight="1" x14ac:dyDescent="0.2">
      <c r="A17" s="21" t="s">
        <v>190</v>
      </c>
      <c r="B17" s="55" t="s">
        <v>191</v>
      </c>
      <c r="C17" s="22" t="s">
        <v>192</v>
      </c>
      <c r="D17" s="55"/>
    </row>
    <row r="18" spans="1:4" ht="18" customHeight="1" x14ac:dyDescent="0.2">
      <c r="A18" s="21" t="s">
        <v>193</v>
      </c>
      <c r="B18" s="55" t="s">
        <v>194</v>
      </c>
      <c r="C18" s="22" t="s">
        <v>177</v>
      </c>
      <c r="D18" s="55"/>
    </row>
    <row r="20" spans="1:4" ht="21.75" customHeight="1" x14ac:dyDescent="0.2">
      <c r="A20" s="68" t="s">
        <v>195</v>
      </c>
      <c r="B20" s="68"/>
      <c r="C20" s="68"/>
      <c r="D20" s="68"/>
    </row>
    <row r="21" spans="1:4" x14ac:dyDescent="0.2">
      <c r="A21" s="20" t="s">
        <v>160</v>
      </c>
      <c r="B21" s="20" t="s">
        <v>161</v>
      </c>
      <c r="C21" s="20" t="s">
        <v>162</v>
      </c>
      <c r="D21" s="20" t="s">
        <v>31</v>
      </c>
    </row>
    <row r="22" spans="1:4" ht="18" customHeight="1" x14ac:dyDescent="0.2">
      <c r="A22" s="21" t="s">
        <v>196</v>
      </c>
      <c r="B22" s="55" t="s">
        <v>197</v>
      </c>
      <c r="C22" s="22" t="s">
        <v>168</v>
      </c>
      <c r="D22" s="55"/>
    </row>
    <row r="23" spans="1:4" ht="18" customHeight="1" x14ac:dyDescent="0.2">
      <c r="A23" s="21" t="s">
        <v>198</v>
      </c>
      <c r="B23" s="55" t="s">
        <v>199</v>
      </c>
      <c r="C23" s="22" t="s">
        <v>200</v>
      </c>
      <c r="D23" s="55"/>
    </row>
    <row r="24" spans="1:4" ht="18" customHeight="1" x14ac:dyDescent="0.2">
      <c r="A24" s="21" t="s">
        <v>201</v>
      </c>
      <c r="B24" s="55" t="s">
        <v>202</v>
      </c>
      <c r="C24" s="22" t="s">
        <v>168</v>
      </c>
      <c r="D24" s="55"/>
    </row>
    <row r="25" spans="1:4" ht="18" customHeight="1" x14ac:dyDescent="0.2">
      <c r="A25" s="21" t="s">
        <v>203</v>
      </c>
      <c r="B25" s="55" t="s">
        <v>204</v>
      </c>
      <c r="C25" s="22" t="s">
        <v>205</v>
      </c>
      <c r="D25" s="55"/>
    </row>
    <row r="27" spans="1:4" ht="21.75" customHeight="1" x14ac:dyDescent="0.2">
      <c r="A27" s="69" t="s">
        <v>206</v>
      </c>
      <c r="B27" s="69"/>
      <c r="C27" s="69"/>
      <c r="D27" s="69"/>
    </row>
    <row r="28" spans="1:4" x14ac:dyDescent="0.2">
      <c r="A28" s="20" t="s">
        <v>160</v>
      </c>
      <c r="B28" s="20" t="s">
        <v>161</v>
      </c>
      <c r="C28" s="20" t="s">
        <v>162</v>
      </c>
      <c r="D28" s="20" t="s">
        <v>31</v>
      </c>
    </row>
    <row r="29" spans="1:4" ht="18" customHeight="1" x14ac:dyDescent="0.2">
      <c r="A29" s="21" t="s">
        <v>207</v>
      </c>
      <c r="B29" s="55" t="s">
        <v>208</v>
      </c>
      <c r="C29" s="22" t="s">
        <v>209</v>
      </c>
      <c r="D29" s="55"/>
    </row>
    <row r="30" spans="1:4" ht="18" customHeight="1" x14ac:dyDescent="0.2">
      <c r="A30" s="21" t="s">
        <v>210</v>
      </c>
      <c r="B30" s="55" t="s">
        <v>211</v>
      </c>
      <c r="C30" s="22" t="s">
        <v>212</v>
      </c>
      <c r="D30" s="55"/>
    </row>
    <row r="32" spans="1:4" ht="21.75" customHeight="1" x14ac:dyDescent="0.2">
      <c r="A32" s="59" t="s">
        <v>213</v>
      </c>
      <c r="B32" s="59"/>
      <c r="C32" s="59"/>
      <c r="D32" s="59"/>
    </row>
    <row r="33" spans="1:4" ht="18" customHeight="1" x14ac:dyDescent="0.2">
      <c r="A33" s="23" t="s">
        <v>214</v>
      </c>
      <c r="B33" s="24" t="s">
        <v>215</v>
      </c>
      <c r="C33" s="70" t="s">
        <v>216</v>
      </c>
      <c r="D33" s="70"/>
    </row>
    <row r="34" spans="1:4" ht="18" customHeight="1" x14ac:dyDescent="0.2">
      <c r="A34" s="25" t="s">
        <v>217</v>
      </c>
      <c r="B34" s="26" t="s">
        <v>218</v>
      </c>
      <c r="C34" s="70" t="s">
        <v>219</v>
      </c>
      <c r="D34" s="70"/>
    </row>
    <row r="35" spans="1:4" ht="18" customHeight="1" x14ac:dyDescent="0.2">
      <c r="A35" s="27" t="s">
        <v>220</v>
      </c>
      <c r="B35" s="28" t="s">
        <v>221</v>
      </c>
      <c r="C35" s="70" t="s">
        <v>222</v>
      </c>
      <c r="D35" s="70"/>
    </row>
    <row r="36" spans="1:4" ht="18" customHeight="1" x14ac:dyDescent="0.2">
      <c r="A36" s="29" t="s">
        <v>223</v>
      </c>
      <c r="B36" s="30" t="s">
        <v>224</v>
      </c>
      <c r="C36" s="70" t="s">
        <v>225</v>
      </c>
      <c r="D36" s="70"/>
    </row>
  </sheetData>
  <mergeCells count="10">
    <mergeCell ref="A32:D32"/>
    <mergeCell ref="C33:D33"/>
    <mergeCell ref="C34:D34"/>
    <mergeCell ref="C35:D35"/>
    <mergeCell ref="C36:D36"/>
    <mergeCell ref="A1:D1"/>
    <mergeCell ref="A2:D2"/>
    <mergeCell ref="A10:D10"/>
    <mergeCell ref="A20:D20"/>
    <mergeCell ref="A27:D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444"/>
  </sheetPr>
  <dimension ref="A1:CP202"/>
  <sheetViews>
    <sheetView zoomScaleNormal="100" workbookViewId="0">
      <pane xSplit="1" ySplit="2" topLeftCell="BX3" activePane="bottomRight" state="frozen"/>
      <selection pane="topRight" activeCell="G3" sqref="G3"/>
      <selection pane="bottomLeft" activeCell="G3" sqref="G3"/>
      <selection pane="bottomRight" activeCell="CE1" sqref="CE1:CK1"/>
    </sheetView>
  </sheetViews>
  <sheetFormatPr baseColWidth="10" defaultColWidth="8.6640625" defaultRowHeight="15" x14ac:dyDescent="0.2"/>
  <cols>
    <col min="1" max="1" width="10" customWidth="1"/>
    <col min="2" max="3" width="14" customWidth="1"/>
    <col min="4" max="4" width="9" customWidth="1"/>
    <col min="5" max="5" width="12" customWidth="1"/>
    <col min="6" max="7" width="22" customWidth="1"/>
    <col min="8" max="8" width="9" customWidth="1"/>
    <col min="9" max="9" width="20" customWidth="1"/>
    <col min="10" max="10" width="18" customWidth="1"/>
    <col min="11" max="11" width="15" customWidth="1"/>
    <col min="12" max="12" width="16.83203125" customWidth="1"/>
    <col min="13" max="13" width="14" customWidth="1"/>
    <col min="14" max="14" width="15" customWidth="1"/>
    <col min="15" max="15" width="17" customWidth="1"/>
    <col min="16" max="18" width="16" customWidth="1"/>
    <col min="19" max="19" width="15" customWidth="1"/>
    <col min="20" max="20" width="18" customWidth="1"/>
    <col min="21" max="21" width="15" customWidth="1"/>
    <col min="22" max="22" width="20" customWidth="1"/>
    <col min="23" max="23" width="6" customWidth="1"/>
    <col min="24" max="24" width="18" customWidth="1"/>
    <col min="25" max="25" width="6" customWidth="1"/>
    <col min="26" max="26" width="24" customWidth="1"/>
    <col min="27" max="27" width="6" customWidth="1"/>
    <col min="28" max="28" width="20" customWidth="1"/>
    <col min="29" max="29" width="6" customWidth="1"/>
    <col min="30" max="30" width="17" customWidth="1"/>
    <col min="31" max="31" width="6" customWidth="1"/>
    <col min="32" max="32" width="9" customWidth="1"/>
    <col min="33" max="33" width="18" customWidth="1"/>
    <col min="34" max="34" width="6" customWidth="1"/>
    <col min="35" max="35" width="18" customWidth="1"/>
    <col min="36" max="36" width="6" customWidth="1"/>
    <col min="37" max="37" width="20" customWidth="1"/>
    <col min="38" max="38" width="6" customWidth="1"/>
    <col min="39" max="39" width="16" customWidth="1"/>
    <col min="40" max="40" width="6" customWidth="1"/>
    <col min="41" max="41" width="18" customWidth="1"/>
    <col min="42" max="42" width="6" customWidth="1"/>
    <col min="43" max="43" width="16" customWidth="1"/>
    <col min="44" max="44" width="6" customWidth="1"/>
    <col min="45" max="45" width="14" customWidth="1"/>
    <col min="46" max="46" width="6" customWidth="1"/>
    <col min="47" max="47" width="9" customWidth="1"/>
    <col min="48" max="48" width="20" customWidth="1"/>
    <col min="49" max="49" width="6" customWidth="1"/>
    <col min="50" max="50" width="20" customWidth="1"/>
    <col min="51" max="51" width="6" customWidth="1"/>
    <col min="52" max="52" width="22" customWidth="1"/>
    <col min="53" max="53" width="6" customWidth="1"/>
    <col min="54" max="54" width="15" customWidth="1"/>
    <col min="55" max="55" width="6" customWidth="1"/>
    <col min="56" max="56" width="9" customWidth="1"/>
    <col min="57" max="57" width="24" customWidth="1"/>
    <col min="58" max="58" width="6" customWidth="1"/>
    <col min="59" max="59" width="24" customWidth="1"/>
    <col min="60" max="60" width="6" customWidth="1"/>
    <col min="61" max="61" width="9" customWidth="1"/>
    <col min="62" max="62" width="14" customWidth="1"/>
    <col min="63" max="63" width="24" customWidth="1"/>
    <col min="64" max="64" width="18" customWidth="1"/>
    <col min="65" max="65" width="20" customWidth="1"/>
    <col min="66" max="66" width="16" customWidth="1"/>
    <col min="67" max="67" width="12" customWidth="1"/>
    <col min="68" max="68" width="10" customWidth="1"/>
    <col min="69" max="69" width="13" customWidth="1"/>
    <col min="70" max="72" width="16" customWidth="1"/>
    <col min="73" max="73" width="18" customWidth="1"/>
    <col min="74" max="75" width="16" customWidth="1"/>
    <col min="76" max="76" width="12" customWidth="1"/>
    <col min="77" max="78" width="16" customWidth="1"/>
    <col min="79" max="79" width="15" customWidth="1"/>
    <col min="80" max="80" width="14" customWidth="1"/>
    <col min="81" max="81" width="18" customWidth="1"/>
    <col min="82" max="83" width="15" customWidth="1"/>
    <col min="84" max="84" width="22" customWidth="1"/>
    <col min="85" max="85" width="15" customWidth="1"/>
    <col min="86" max="86" width="14" customWidth="1"/>
    <col min="87" max="87" width="10" customWidth="1"/>
    <col min="88" max="88" width="12" customWidth="1"/>
    <col min="89" max="89" width="15" customWidth="1"/>
    <col min="90" max="90" width="13" customWidth="1"/>
    <col min="91" max="91" width="15" customWidth="1"/>
    <col min="92" max="93" width="14" customWidth="1"/>
    <col min="94" max="94" width="28" customWidth="1"/>
  </cols>
  <sheetData>
    <row r="1" spans="1:94" ht="27.75" customHeight="1" x14ac:dyDescent="0.2">
      <c r="A1" s="59" t="s">
        <v>226</v>
      </c>
      <c r="B1" s="59"/>
      <c r="C1" s="59"/>
      <c r="D1" s="59"/>
      <c r="E1" s="59"/>
      <c r="F1" s="59"/>
      <c r="G1" s="59"/>
      <c r="H1" s="59"/>
      <c r="I1" s="59"/>
      <c r="J1" s="59"/>
      <c r="K1" s="71" t="s">
        <v>227</v>
      </c>
      <c r="L1" s="72"/>
      <c r="M1" s="72"/>
      <c r="N1" s="72"/>
      <c r="O1" s="72"/>
      <c r="P1" s="72"/>
      <c r="Q1" s="72"/>
      <c r="R1" s="72"/>
      <c r="S1" s="72"/>
      <c r="T1" s="73"/>
      <c r="U1" s="66" t="s">
        <v>228</v>
      </c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7" t="s">
        <v>229</v>
      </c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8" t="s">
        <v>230</v>
      </c>
      <c r="AW1" s="68"/>
      <c r="AX1" s="68"/>
      <c r="AY1" s="68"/>
      <c r="AZ1" s="68"/>
      <c r="BA1" s="68"/>
      <c r="BB1" s="68"/>
      <c r="BC1" s="68"/>
      <c r="BD1" s="68"/>
      <c r="BE1" s="69" t="s">
        <v>231</v>
      </c>
      <c r="BF1" s="69"/>
      <c r="BG1" s="69"/>
      <c r="BH1" s="69"/>
      <c r="BI1" s="69"/>
      <c r="BJ1" s="59" t="s">
        <v>232</v>
      </c>
      <c r="BK1" s="59"/>
      <c r="BL1" s="59"/>
      <c r="BM1" s="59" t="s">
        <v>233</v>
      </c>
      <c r="BN1" s="59"/>
      <c r="BO1" s="59"/>
      <c r="BP1" s="59"/>
      <c r="BQ1" s="59"/>
      <c r="BR1" s="59" t="s">
        <v>234</v>
      </c>
      <c r="BS1" s="59"/>
      <c r="BT1" s="59"/>
      <c r="BU1" s="59"/>
      <c r="BV1" s="58"/>
      <c r="BW1" s="58"/>
      <c r="BX1" s="58"/>
      <c r="BY1" s="58"/>
      <c r="BZ1" s="58"/>
      <c r="CA1" s="58"/>
      <c r="CB1" s="58"/>
      <c r="CC1" s="58"/>
      <c r="CD1" s="58"/>
      <c r="CE1" s="59"/>
      <c r="CF1" s="59"/>
      <c r="CG1" s="59"/>
      <c r="CH1" s="59"/>
      <c r="CI1" s="59"/>
      <c r="CJ1" s="59"/>
      <c r="CK1" s="59"/>
      <c r="CL1" s="59"/>
      <c r="CM1" s="59"/>
      <c r="CN1" s="59"/>
      <c r="CO1" s="59"/>
      <c r="CP1" s="59"/>
    </row>
    <row r="2" spans="1:94" ht="55.5" customHeight="1" x14ac:dyDescent="0.2">
      <c r="A2" s="1" t="s">
        <v>0</v>
      </c>
      <c r="B2" s="1" t="s">
        <v>235</v>
      </c>
      <c r="C2" s="1" t="s">
        <v>236</v>
      </c>
      <c r="D2" s="1" t="s">
        <v>237</v>
      </c>
      <c r="E2" s="1" t="s">
        <v>4</v>
      </c>
      <c r="F2" s="1" t="s">
        <v>238</v>
      </c>
      <c r="G2" s="1"/>
      <c r="H2" s="1" t="s">
        <v>239</v>
      </c>
      <c r="I2" s="1" t="s">
        <v>240</v>
      </c>
      <c r="J2" s="1" t="s">
        <v>241</v>
      </c>
      <c r="K2" s="2" t="s">
        <v>14</v>
      </c>
      <c r="L2" s="2" t="s">
        <v>15</v>
      </c>
      <c r="M2" s="2" t="s">
        <v>242</v>
      </c>
      <c r="N2" s="2" t="s">
        <v>243</v>
      </c>
      <c r="O2" s="2" t="s">
        <v>244</v>
      </c>
      <c r="P2" s="2" t="s">
        <v>245</v>
      </c>
      <c r="Q2" s="2" t="s">
        <v>246</v>
      </c>
      <c r="R2" s="2" t="s">
        <v>247</v>
      </c>
      <c r="S2" s="2" t="s">
        <v>248</v>
      </c>
      <c r="T2" s="3" t="s">
        <v>249</v>
      </c>
      <c r="U2" s="4" t="s">
        <v>250</v>
      </c>
      <c r="V2" s="4" t="s">
        <v>163</v>
      </c>
      <c r="W2" s="5" t="s">
        <v>251</v>
      </c>
      <c r="X2" s="4" t="s">
        <v>166</v>
      </c>
      <c r="Y2" s="5" t="s">
        <v>251</v>
      </c>
      <c r="Z2" s="4" t="s">
        <v>169</v>
      </c>
      <c r="AA2" s="5" t="s">
        <v>251</v>
      </c>
      <c r="AB2" s="4" t="s">
        <v>252</v>
      </c>
      <c r="AC2" s="5" t="s">
        <v>251</v>
      </c>
      <c r="AD2" s="4" t="s">
        <v>253</v>
      </c>
      <c r="AE2" s="5" t="s">
        <v>251</v>
      </c>
      <c r="AF2" s="4" t="s">
        <v>254</v>
      </c>
      <c r="AG2" s="6" t="s">
        <v>179</v>
      </c>
      <c r="AH2" s="7" t="s">
        <v>251</v>
      </c>
      <c r="AI2" s="6" t="s">
        <v>181</v>
      </c>
      <c r="AJ2" s="7" t="s">
        <v>251</v>
      </c>
      <c r="AK2" s="6" t="s">
        <v>183</v>
      </c>
      <c r="AL2" s="7" t="s">
        <v>251</v>
      </c>
      <c r="AM2" s="6" t="s">
        <v>185</v>
      </c>
      <c r="AN2" s="7" t="s">
        <v>251</v>
      </c>
      <c r="AO2" s="6" t="s">
        <v>188</v>
      </c>
      <c r="AP2" s="7" t="s">
        <v>251</v>
      </c>
      <c r="AQ2" s="6" t="s">
        <v>255</v>
      </c>
      <c r="AR2" s="7" t="s">
        <v>251</v>
      </c>
      <c r="AS2" s="6" t="s">
        <v>256</v>
      </c>
      <c r="AT2" s="7" t="s">
        <v>251</v>
      </c>
      <c r="AU2" s="6" t="s">
        <v>257</v>
      </c>
      <c r="AV2" s="8" t="s">
        <v>258</v>
      </c>
      <c r="AW2" s="9" t="s">
        <v>251</v>
      </c>
      <c r="AX2" s="8" t="s">
        <v>259</v>
      </c>
      <c r="AY2" s="9" t="s">
        <v>251</v>
      </c>
      <c r="AZ2" s="8" t="s">
        <v>201</v>
      </c>
      <c r="BA2" s="9" t="s">
        <v>251</v>
      </c>
      <c r="BB2" s="8" t="s">
        <v>260</v>
      </c>
      <c r="BC2" s="9" t="s">
        <v>251</v>
      </c>
      <c r="BD2" s="8" t="s">
        <v>261</v>
      </c>
      <c r="BE2" s="10" t="s">
        <v>207</v>
      </c>
      <c r="BF2" s="11" t="s">
        <v>251</v>
      </c>
      <c r="BG2" s="10" t="s">
        <v>210</v>
      </c>
      <c r="BH2" s="11" t="s">
        <v>251</v>
      </c>
      <c r="BI2" s="10" t="s">
        <v>262</v>
      </c>
      <c r="BJ2" s="1" t="s">
        <v>263</v>
      </c>
      <c r="BK2" s="1" t="s">
        <v>264</v>
      </c>
      <c r="BL2" s="2" t="s">
        <v>265</v>
      </c>
      <c r="BM2" s="1" t="s">
        <v>266</v>
      </c>
      <c r="BN2" s="1" t="s">
        <v>267</v>
      </c>
      <c r="BO2" s="1" t="s">
        <v>268</v>
      </c>
      <c r="BP2" s="1" t="s">
        <v>269</v>
      </c>
      <c r="BQ2" s="1" t="s">
        <v>270</v>
      </c>
      <c r="BR2" s="1" t="s">
        <v>271</v>
      </c>
      <c r="BS2" s="1" t="s">
        <v>272</v>
      </c>
      <c r="BT2" s="1" t="s">
        <v>273</v>
      </c>
      <c r="BU2" s="1" t="s">
        <v>274</v>
      </c>
      <c r="BV2" s="2"/>
      <c r="BW2" s="2"/>
      <c r="BX2" s="2"/>
      <c r="BY2" s="2"/>
      <c r="BZ2" s="2"/>
      <c r="CA2" s="2"/>
      <c r="CB2" s="2"/>
      <c r="CC2" s="3"/>
      <c r="CD2" s="2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</row>
    <row r="3" spans="1:94" x14ac:dyDescent="0.2">
      <c r="A3" s="12"/>
      <c r="B3" s="13"/>
      <c r="C3" s="13"/>
      <c r="D3" s="13"/>
      <c r="E3" s="13"/>
      <c r="F3" s="13"/>
      <c r="G3" s="13"/>
      <c r="H3" s="13" t="s">
        <v>35</v>
      </c>
      <c r="I3" s="13"/>
      <c r="J3" s="13"/>
      <c r="K3" s="13">
        <v>1</v>
      </c>
      <c r="L3" s="13"/>
      <c r="M3" s="13"/>
      <c r="N3" s="13"/>
      <c r="O3" s="13"/>
      <c r="P3" s="13"/>
      <c r="Q3" s="13"/>
      <c r="R3" s="13"/>
      <c r="S3" s="13"/>
      <c r="T3" s="14" t="str">
        <f t="shared" ref="T3:T34" si="0">IF(COUNTIF(K3:S3,"Y")&gt;0,"STOP — ABS CI PRESENT","✓ Clear to Score")</f>
        <v>✓ Clear to Score</v>
      </c>
      <c r="U3" s="13"/>
      <c r="V3" s="13"/>
      <c r="W3" s="14" t="str">
        <f t="shared" ref="W3:W34" si="1">IFERROR(IF(V3="","",IF(V3="≥3.5 g/dL",0,IF(V3="3.0-3.49 g/dL",1,IF(V3="2.5-2.99 g/dL",3,0)))),"")</f>
        <v/>
      </c>
      <c r="X3" s="13"/>
      <c r="Y3" s="14" t="str">
        <f t="shared" ref="Y3:Y34" si="2">IFERROR(IF(X3="","",IF(X3="≥18 mg/dL",0,IF(X3="12-17.9 mg/dL",1,2))),"")</f>
        <v/>
      </c>
      <c r="Z3" s="13"/>
      <c r="AA3" s="14" t="str">
        <f t="shared" ref="AA3:AA34" si="3">IFERROR(IF(Z3="","",IF(ISNUMBER(SEARCH("Normal",Z3)),0,IF(ISNUMBER(SEARCH("Borderline",Z3)),1,3))),"")</f>
        <v/>
      </c>
      <c r="AB3" s="13"/>
      <c r="AC3" s="14" t="str">
        <f t="shared" ref="AC3:AC34" si="4">IFERROR(IF(U3="N",0,IF(AB3="","",IF(AB3="0.5-2.0 ng/mL",1,0))),"")</f>
        <v/>
      </c>
      <c r="AD3" s="13"/>
      <c r="AE3" s="14">
        <f t="shared" ref="AE3:AE34" si="5">IFERROR(IF(U3="N",0,IF(AD3="Y",1,0)),"")</f>
        <v>0</v>
      </c>
      <c r="AF3" s="14">
        <f t="shared" ref="AF3:AF34" si="6">IFERROR(SUM(W3,Y3,AA3,AC3,AE3),"")</f>
        <v>0</v>
      </c>
      <c r="AG3" s="13"/>
      <c r="AH3" s="14" t="str">
        <f t="shared" ref="AH3:AH34" si="7">IFERROR(IF(AG3="","",IF(AG3="Ischial",3,IF(AG3="Multiple Sites",1,0))),"")</f>
        <v/>
      </c>
      <c r="AI3" s="13"/>
      <c r="AJ3" s="14" t="str">
        <f t="shared" ref="AJ3:AJ34" si="8">IFERROR(IF(AI3="","",IF(AI3="&lt;50 cm²",0,IF(AI3="50-100 cm²",1,2))),"")</f>
        <v/>
      </c>
      <c r="AK3" s="13"/>
      <c r="AL3" s="14" t="str">
        <f t="shared" ref="AL3:AL34" si="9">IFERROR(IF(AK3="","",IF(AK3="None",0,IF(AK3="Chronic (&gt;4wk + sequestrum/sinus)",1,3))),"")</f>
        <v/>
      </c>
      <c r="AM3" s="13"/>
      <c r="AN3" s="14" t="str">
        <f t="shared" ref="AN3:AN34" si="10">IFERROR(IF(AM3="","",IF(AM3="None",0,IF(AM3="1 prior flap",2,3))),"")</f>
        <v/>
      </c>
      <c r="AO3" s="13"/>
      <c r="AP3" s="14" t="str">
        <f t="shared" ref="AP3:AP34" si="11">IFERROR(IF(AO3="","",IF(AO3="None",0,IF(AO3="Intermittent (not daily)",1,2))),"")</f>
        <v/>
      </c>
      <c r="AQ3" s="13"/>
      <c r="AR3" s="14">
        <f t="shared" ref="AR3:AR34" si="12">IFERROR(IF(OR(AG3="Lower Extremity",AG3="Multiple Sites"),IF(AQ3="Y",1,0),0),"")</f>
        <v>0</v>
      </c>
      <c r="AS3" s="13"/>
      <c r="AT3" s="14">
        <f t="shared" ref="AT3:AT34" si="13">IFERROR(IF(AS3="Y",1,0),"")</f>
        <v>0</v>
      </c>
      <c r="AU3" s="14">
        <f t="shared" ref="AU3:AU34" si="14">IFERROR(SUM(AH3,AJ3,AL3,AN3,AP3,AR3,AT3),"")</f>
        <v>0</v>
      </c>
      <c r="AV3" s="13"/>
      <c r="AW3" s="14" t="str">
        <f t="shared" ref="AW3:AW34" si="15">IFERROR(IF(AV3="","",IF(AV3="No diabetes / HbA1c &lt;7.0%",0,IF(AV3="HbA1c 7.0-7.9%",1,2))),"")</f>
        <v/>
      </c>
      <c r="AX3" s="13"/>
      <c r="AY3" s="14" t="str">
        <f t="shared" ref="AY3:AY34" si="16">IFERROR(IF(AX3="","",IF(AX3="Never / Former (&gt;6mo abstinence)",0,2)),"")</f>
        <v/>
      </c>
      <c r="AZ3" s="13"/>
      <c r="BA3" s="14" t="str">
        <f t="shared" ref="BA3:BA34" si="17">IFERROR(IF(AZ3="","",IF(AZ3="None",0,IF(AZ3="One stable condition",1,2))),"")</f>
        <v/>
      </c>
      <c r="BB3" s="13"/>
      <c r="BC3" s="14">
        <f t="shared" ref="BC3:BC34" si="18">IFERROR(IF(BB3="Y",2,0),"")</f>
        <v>0</v>
      </c>
      <c r="BD3" s="14">
        <f t="shared" ref="BD3:BD34" si="19">IFERROR(SUM(AW3,AY3,BA3,BC3),"")</f>
        <v>0</v>
      </c>
      <c r="BE3" s="13"/>
      <c r="BF3" s="14" t="str">
        <f t="shared" ref="BF3:BF34" si="20">IFERROR(IF(BE3="","",IF(BE3="Ambulatory",0,IF(BE3="Wheelchair w/ cushions",1,IF(BE3="Bedbound w/ offloading mattress",2,3)))),"")</f>
        <v/>
      </c>
      <c r="BG3" s="13"/>
      <c r="BH3" s="14" t="str">
        <f t="shared" ref="BH3:BH34" si="21">IFERROR(IF(BG3="","",IF(BG3="Reliable 24/7 care",0,IF(BG3="Some support — inconsistent",2,0))),"")</f>
        <v/>
      </c>
      <c r="BI3" s="14">
        <f t="shared" ref="BI3:BI34" si="22">IFERROR(SUM(BF3,BH3),"")</f>
        <v>0</v>
      </c>
      <c r="BJ3" s="14">
        <f t="shared" ref="BJ3:BJ34" si="23">IFERROR(IF(COUNTA(AF3,AU3,BD3,BI3)=0,"",SUM(AF3,AU3,BD3,BI3)),"")</f>
        <v>0</v>
      </c>
      <c r="BK3" s="14" t="str">
        <f t="shared" ref="BK3:BK34" si="24">IFERROR(IF(BJ3="","",IF(BJ3&lt;6,"LOW RISK",IF(BJ3&lt;13,"MODERATE RISK",IF(BJ3&lt;20,"HIGH RISK","NOT AN IDEAL CANDIDATE")))),"")</f>
        <v>LOW RISK</v>
      </c>
      <c r="BL3" s="14" t="str">
        <f t="shared" ref="BL3:BL34" si="25">IFERROR(_xlfn.SINGLE(_xlfn.TEXTJOIN(", ", TRUE(), IF(V3 = "&lt;2.5 g/dL (Abs CI)", "Albumin CI", ""), IF(AB3 = "&gt;2.0 or Sepsis (Abs CI)", "PCT CI", ""), IF(BG3 = "No support (Functional CI)", "Functional CI", ""))), "")</f>
        <v/>
      </c>
      <c r="BM3" s="13"/>
      <c r="BN3" s="12"/>
      <c r="BO3" s="13"/>
      <c r="BP3" s="13"/>
      <c r="BQ3" s="13"/>
      <c r="BR3" s="13"/>
      <c r="BS3" s="13"/>
      <c r="BT3" s="13"/>
      <c r="BU3" s="14" t="str">
        <f t="shared" ref="BU3:BU34" si="26">IFERROR(IF(BT3="","",IF(BT3&lt;6,"LOW RISK",IF(BT3&lt;13,"MODERATE RISK",IF(BT3&lt;20,"HIGH RISK","NOT AN IDEAL CANDIDATE")))),"")</f>
        <v/>
      </c>
      <c r="BV3" s="13"/>
      <c r="BW3" s="13"/>
      <c r="BX3" s="13"/>
      <c r="BY3" s="13"/>
      <c r="BZ3" s="13"/>
      <c r="CA3" s="13"/>
      <c r="CB3" s="13"/>
      <c r="CC3" s="14"/>
      <c r="CD3" s="13"/>
      <c r="CE3" s="13"/>
      <c r="CF3" s="12"/>
      <c r="CG3" s="13"/>
      <c r="CH3" s="13"/>
      <c r="CI3" s="13"/>
      <c r="CJ3" s="13"/>
      <c r="CK3" s="13"/>
      <c r="CL3" s="12"/>
      <c r="CM3" s="13"/>
      <c r="CN3" s="13"/>
      <c r="CO3" s="13"/>
      <c r="CP3" s="12"/>
    </row>
    <row r="4" spans="1:94" x14ac:dyDescent="0.2">
      <c r="A4" s="12"/>
      <c r="B4" s="13"/>
      <c r="C4" s="13"/>
      <c r="D4" s="13"/>
      <c r="E4" s="13"/>
      <c r="F4" s="13"/>
      <c r="G4" s="13"/>
      <c r="H4" s="13" t="s">
        <v>35</v>
      </c>
      <c r="I4" s="13"/>
      <c r="J4" s="13"/>
      <c r="K4" s="13">
        <v>2</v>
      </c>
      <c r="L4" s="13"/>
      <c r="M4" s="13"/>
      <c r="N4" s="13"/>
      <c r="O4" s="13"/>
      <c r="P4" s="13"/>
      <c r="Q4" s="13"/>
      <c r="R4" s="13"/>
      <c r="S4" s="13"/>
      <c r="T4" s="14" t="str">
        <f t="shared" si="0"/>
        <v>✓ Clear to Score</v>
      </c>
      <c r="U4" s="13"/>
      <c r="V4" s="13"/>
      <c r="W4" s="14" t="str">
        <f t="shared" si="1"/>
        <v/>
      </c>
      <c r="X4" s="13"/>
      <c r="Y4" s="14" t="str">
        <f t="shared" si="2"/>
        <v/>
      </c>
      <c r="Z4" s="13"/>
      <c r="AA4" s="14" t="str">
        <f t="shared" si="3"/>
        <v/>
      </c>
      <c r="AB4" s="13"/>
      <c r="AC4" s="14" t="str">
        <f t="shared" si="4"/>
        <v/>
      </c>
      <c r="AD4" s="13"/>
      <c r="AE4" s="14">
        <f t="shared" si="5"/>
        <v>0</v>
      </c>
      <c r="AF4" s="14">
        <f t="shared" si="6"/>
        <v>0</v>
      </c>
      <c r="AG4" s="13"/>
      <c r="AH4" s="14" t="str">
        <f t="shared" si="7"/>
        <v/>
      </c>
      <c r="AI4" s="13"/>
      <c r="AJ4" s="14" t="str">
        <f t="shared" si="8"/>
        <v/>
      </c>
      <c r="AK4" s="13"/>
      <c r="AL4" s="14" t="str">
        <f t="shared" si="9"/>
        <v/>
      </c>
      <c r="AM4" s="13"/>
      <c r="AN4" s="14" t="str">
        <f t="shared" si="10"/>
        <v/>
      </c>
      <c r="AO4" s="13"/>
      <c r="AP4" s="14" t="str">
        <f t="shared" si="11"/>
        <v/>
      </c>
      <c r="AQ4" s="13"/>
      <c r="AR4" s="14">
        <f t="shared" si="12"/>
        <v>0</v>
      </c>
      <c r="AS4" s="13"/>
      <c r="AT4" s="14">
        <f t="shared" si="13"/>
        <v>0</v>
      </c>
      <c r="AU4" s="14">
        <f t="shared" si="14"/>
        <v>0</v>
      </c>
      <c r="AV4" s="13"/>
      <c r="AW4" s="14" t="str">
        <f t="shared" si="15"/>
        <v/>
      </c>
      <c r="AX4" s="13"/>
      <c r="AY4" s="14" t="str">
        <f t="shared" si="16"/>
        <v/>
      </c>
      <c r="AZ4" s="13"/>
      <c r="BA4" s="14" t="str">
        <f t="shared" si="17"/>
        <v/>
      </c>
      <c r="BB4" s="13"/>
      <c r="BC4" s="14">
        <f t="shared" si="18"/>
        <v>0</v>
      </c>
      <c r="BD4" s="14">
        <f t="shared" si="19"/>
        <v>0</v>
      </c>
      <c r="BE4" s="13"/>
      <c r="BF4" s="14" t="str">
        <f t="shared" si="20"/>
        <v/>
      </c>
      <c r="BG4" s="13"/>
      <c r="BH4" s="14" t="str">
        <f t="shared" si="21"/>
        <v/>
      </c>
      <c r="BI4" s="14">
        <f t="shared" si="22"/>
        <v>0</v>
      </c>
      <c r="BJ4" s="14">
        <f t="shared" si="23"/>
        <v>0</v>
      </c>
      <c r="BK4" s="14" t="str">
        <f t="shared" si="24"/>
        <v>LOW RISK</v>
      </c>
      <c r="BL4" s="14" t="str">
        <f t="shared" si="25"/>
        <v/>
      </c>
      <c r="BM4" s="13"/>
      <c r="BN4" s="12"/>
      <c r="BO4" s="13"/>
      <c r="BP4" s="13"/>
      <c r="BQ4" s="13"/>
      <c r="BR4" s="13"/>
      <c r="BS4" s="13"/>
      <c r="BT4" s="13"/>
      <c r="BU4" s="14" t="str">
        <f t="shared" si="26"/>
        <v/>
      </c>
      <c r="BV4" s="13"/>
      <c r="BW4" s="13"/>
      <c r="BX4" s="13"/>
      <c r="BY4" s="13"/>
      <c r="BZ4" s="13"/>
      <c r="CA4" s="13"/>
      <c r="CB4" s="13"/>
      <c r="CC4" s="14"/>
      <c r="CD4" s="13"/>
      <c r="CE4" s="13"/>
      <c r="CF4" s="12"/>
      <c r="CG4" s="13"/>
      <c r="CH4" s="13"/>
      <c r="CI4" s="13"/>
      <c r="CJ4" s="13"/>
      <c r="CK4" s="13"/>
      <c r="CL4" s="12"/>
      <c r="CM4" s="13"/>
      <c r="CN4" s="13"/>
      <c r="CO4" s="13"/>
      <c r="CP4" s="12"/>
    </row>
    <row r="5" spans="1:94" x14ac:dyDescent="0.2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4" t="str">
        <f t="shared" si="0"/>
        <v>✓ Clear to Score</v>
      </c>
      <c r="U5" s="13"/>
      <c r="V5" s="13"/>
      <c r="W5" s="14" t="str">
        <f t="shared" si="1"/>
        <v/>
      </c>
      <c r="X5" s="13"/>
      <c r="Y5" s="14" t="str">
        <f t="shared" si="2"/>
        <v/>
      </c>
      <c r="Z5" s="13"/>
      <c r="AA5" s="14" t="str">
        <f t="shared" si="3"/>
        <v/>
      </c>
      <c r="AB5" s="13"/>
      <c r="AC5" s="14" t="str">
        <f t="shared" si="4"/>
        <v/>
      </c>
      <c r="AD5" s="13"/>
      <c r="AE5" s="14">
        <f t="shared" si="5"/>
        <v>0</v>
      </c>
      <c r="AF5" s="14">
        <f t="shared" si="6"/>
        <v>0</v>
      </c>
      <c r="AG5" s="13"/>
      <c r="AH5" s="14" t="str">
        <f t="shared" si="7"/>
        <v/>
      </c>
      <c r="AI5" s="13"/>
      <c r="AJ5" s="14" t="str">
        <f t="shared" si="8"/>
        <v/>
      </c>
      <c r="AK5" s="13"/>
      <c r="AL5" s="14" t="str">
        <f t="shared" si="9"/>
        <v/>
      </c>
      <c r="AM5" s="13"/>
      <c r="AN5" s="14" t="str">
        <f t="shared" si="10"/>
        <v/>
      </c>
      <c r="AO5" s="13"/>
      <c r="AP5" s="14" t="str">
        <f t="shared" si="11"/>
        <v/>
      </c>
      <c r="AQ5" s="13"/>
      <c r="AR5" s="14">
        <f t="shared" si="12"/>
        <v>0</v>
      </c>
      <c r="AS5" s="13"/>
      <c r="AT5" s="14">
        <f t="shared" si="13"/>
        <v>0</v>
      </c>
      <c r="AU5" s="14">
        <f t="shared" si="14"/>
        <v>0</v>
      </c>
      <c r="AV5" s="13"/>
      <c r="AW5" s="14" t="str">
        <f t="shared" si="15"/>
        <v/>
      </c>
      <c r="AX5" s="13"/>
      <c r="AY5" s="14" t="str">
        <f t="shared" si="16"/>
        <v/>
      </c>
      <c r="AZ5" s="13"/>
      <c r="BA5" s="14" t="str">
        <f t="shared" si="17"/>
        <v/>
      </c>
      <c r="BB5" s="13"/>
      <c r="BC5" s="14">
        <f t="shared" si="18"/>
        <v>0</v>
      </c>
      <c r="BD5" s="14">
        <f t="shared" si="19"/>
        <v>0</v>
      </c>
      <c r="BE5" s="13"/>
      <c r="BF5" s="14" t="str">
        <f t="shared" si="20"/>
        <v/>
      </c>
      <c r="BG5" s="13"/>
      <c r="BH5" s="14" t="str">
        <f t="shared" si="21"/>
        <v/>
      </c>
      <c r="BI5" s="14">
        <f t="shared" si="22"/>
        <v>0</v>
      </c>
      <c r="BJ5" s="14">
        <f t="shared" si="23"/>
        <v>0</v>
      </c>
      <c r="BK5" s="14" t="str">
        <f t="shared" si="24"/>
        <v>LOW RISK</v>
      </c>
      <c r="BL5" s="14" t="str">
        <f t="shared" si="25"/>
        <v/>
      </c>
      <c r="BM5" s="13"/>
      <c r="BN5" s="12"/>
      <c r="BO5" s="13"/>
      <c r="BP5" s="13"/>
      <c r="BQ5" s="13"/>
      <c r="BR5" s="13"/>
      <c r="BS5" s="13"/>
      <c r="BT5" s="13"/>
      <c r="BU5" s="14" t="str">
        <f t="shared" si="26"/>
        <v/>
      </c>
      <c r="BV5" s="13"/>
      <c r="BW5" s="13"/>
      <c r="BX5" s="13"/>
      <c r="BY5" s="13"/>
      <c r="BZ5" s="13"/>
      <c r="CA5" s="13"/>
      <c r="CB5" s="13"/>
      <c r="CC5" s="14"/>
      <c r="CD5" s="13"/>
      <c r="CE5" s="13"/>
      <c r="CF5" s="12"/>
      <c r="CG5" s="13"/>
      <c r="CH5" s="13"/>
      <c r="CI5" s="13"/>
      <c r="CJ5" s="13"/>
      <c r="CK5" s="13"/>
      <c r="CL5" s="12"/>
      <c r="CM5" s="13"/>
      <c r="CN5" s="13"/>
      <c r="CO5" s="13"/>
      <c r="CP5" s="12"/>
    </row>
    <row r="6" spans="1:94" x14ac:dyDescent="0.2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4" t="str">
        <f t="shared" si="0"/>
        <v>✓ Clear to Score</v>
      </c>
      <c r="U6" s="13"/>
      <c r="V6" s="13"/>
      <c r="W6" s="14" t="str">
        <f t="shared" si="1"/>
        <v/>
      </c>
      <c r="X6" s="13"/>
      <c r="Y6" s="14" t="str">
        <f t="shared" si="2"/>
        <v/>
      </c>
      <c r="Z6" s="13"/>
      <c r="AA6" s="14" t="str">
        <f t="shared" si="3"/>
        <v/>
      </c>
      <c r="AB6" s="13"/>
      <c r="AC6" s="14" t="str">
        <f t="shared" si="4"/>
        <v/>
      </c>
      <c r="AD6" s="13"/>
      <c r="AE6" s="14">
        <f t="shared" si="5"/>
        <v>0</v>
      </c>
      <c r="AF6" s="14">
        <f t="shared" si="6"/>
        <v>0</v>
      </c>
      <c r="AG6" s="13"/>
      <c r="AH6" s="14" t="str">
        <f t="shared" si="7"/>
        <v/>
      </c>
      <c r="AI6" s="13"/>
      <c r="AJ6" s="14" t="str">
        <f t="shared" si="8"/>
        <v/>
      </c>
      <c r="AK6" s="13"/>
      <c r="AL6" s="14" t="str">
        <f t="shared" si="9"/>
        <v/>
      </c>
      <c r="AM6" s="13"/>
      <c r="AN6" s="14" t="str">
        <f t="shared" si="10"/>
        <v/>
      </c>
      <c r="AO6" s="13"/>
      <c r="AP6" s="14" t="str">
        <f t="shared" si="11"/>
        <v/>
      </c>
      <c r="AQ6" s="13"/>
      <c r="AR6" s="14">
        <f t="shared" si="12"/>
        <v>0</v>
      </c>
      <c r="AS6" s="13"/>
      <c r="AT6" s="14">
        <f t="shared" si="13"/>
        <v>0</v>
      </c>
      <c r="AU6" s="14">
        <f t="shared" si="14"/>
        <v>0</v>
      </c>
      <c r="AV6" s="13"/>
      <c r="AW6" s="14" t="str">
        <f t="shared" si="15"/>
        <v/>
      </c>
      <c r="AX6" s="13"/>
      <c r="AY6" s="14" t="str">
        <f t="shared" si="16"/>
        <v/>
      </c>
      <c r="AZ6" s="13"/>
      <c r="BA6" s="14" t="str">
        <f t="shared" si="17"/>
        <v/>
      </c>
      <c r="BB6" s="13"/>
      <c r="BC6" s="14">
        <f t="shared" si="18"/>
        <v>0</v>
      </c>
      <c r="BD6" s="14">
        <f t="shared" si="19"/>
        <v>0</v>
      </c>
      <c r="BE6" s="13"/>
      <c r="BF6" s="14" t="str">
        <f t="shared" si="20"/>
        <v/>
      </c>
      <c r="BG6" s="13"/>
      <c r="BH6" s="14" t="str">
        <f t="shared" si="21"/>
        <v/>
      </c>
      <c r="BI6" s="14">
        <f t="shared" si="22"/>
        <v>0</v>
      </c>
      <c r="BJ6" s="14">
        <f t="shared" si="23"/>
        <v>0</v>
      </c>
      <c r="BK6" s="14" t="str">
        <f t="shared" si="24"/>
        <v>LOW RISK</v>
      </c>
      <c r="BL6" s="14" t="str">
        <f t="shared" si="25"/>
        <v/>
      </c>
      <c r="BM6" s="13"/>
      <c r="BN6" s="12"/>
      <c r="BO6" s="13"/>
      <c r="BP6" s="13"/>
      <c r="BQ6" s="13"/>
      <c r="BR6" s="13"/>
      <c r="BS6" s="13"/>
      <c r="BT6" s="13"/>
      <c r="BU6" s="14" t="str">
        <f t="shared" si="26"/>
        <v/>
      </c>
      <c r="BV6" s="13"/>
      <c r="BW6" s="13"/>
      <c r="BX6" s="13"/>
      <c r="BY6" s="13"/>
      <c r="BZ6" s="13"/>
      <c r="CA6" s="13"/>
      <c r="CB6" s="13"/>
      <c r="CC6" s="14"/>
      <c r="CD6" s="13"/>
      <c r="CE6" s="13"/>
      <c r="CF6" s="12"/>
      <c r="CG6" s="13"/>
      <c r="CH6" s="13"/>
      <c r="CI6" s="13"/>
      <c r="CJ6" s="13"/>
      <c r="CK6" s="13"/>
      <c r="CL6" s="12"/>
      <c r="CM6" s="13"/>
      <c r="CN6" s="13"/>
      <c r="CO6" s="13"/>
      <c r="CP6" s="12"/>
    </row>
    <row r="7" spans="1:94" x14ac:dyDescent="0.2">
      <c r="A7" s="12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4" t="str">
        <f t="shared" si="0"/>
        <v>✓ Clear to Score</v>
      </c>
      <c r="U7" s="13"/>
      <c r="V7" s="13"/>
      <c r="W7" s="14" t="str">
        <f t="shared" si="1"/>
        <v/>
      </c>
      <c r="X7" s="13"/>
      <c r="Y7" s="14" t="str">
        <f t="shared" si="2"/>
        <v/>
      </c>
      <c r="Z7" s="13"/>
      <c r="AA7" s="14" t="str">
        <f t="shared" si="3"/>
        <v/>
      </c>
      <c r="AB7" s="13"/>
      <c r="AC7" s="14" t="str">
        <f t="shared" si="4"/>
        <v/>
      </c>
      <c r="AD7" s="13"/>
      <c r="AE7" s="14">
        <f t="shared" si="5"/>
        <v>0</v>
      </c>
      <c r="AF7" s="14">
        <f t="shared" si="6"/>
        <v>0</v>
      </c>
      <c r="AG7" s="13"/>
      <c r="AH7" s="14" t="str">
        <f t="shared" si="7"/>
        <v/>
      </c>
      <c r="AI7" s="13"/>
      <c r="AJ7" s="14" t="str">
        <f t="shared" si="8"/>
        <v/>
      </c>
      <c r="AK7" s="13"/>
      <c r="AL7" s="14" t="str">
        <f t="shared" si="9"/>
        <v/>
      </c>
      <c r="AM7" s="13"/>
      <c r="AN7" s="14" t="str">
        <f t="shared" si="10"/>
        <v/>
      </c>
      <c r="AO7" s="13"/>
      <c r="AP7" s="14" t="str">
        <f t="shared" si="11"/>
        <v/>
      </c>
      <c r="AQ7" s="13"/>
      <c r="AR7" s="14">
        <f t="shared" si="12"/>
        <v>0</v>
      </c>
      <c r="AS7" s="13"/>
      <c r="AT7" s="14">
        <f t="shared" si="13"/>
        <v>0</v>
      </c>
      <c r="AU7" s="14">
        <f t="shared" si="14"/>
        <v>0</v>
      </c>
      <c r="AV7" s="13"/>
      <c r="AW7" s="14" t="str">
        <f t="shared" si="15"/>
        <v/>
      </c>
      <c r="AX7" s="13"/>
      <c r="AY7" s="14" t="str">
        <f t="shared" si="16"/>
        <v/>
      </c>
      <c r="AZ7" s="13"/>
      <c r="BA7" s="14" t="str">
        <f t="shared" si="17"/>
        <v/>
      </c>
      <c r="BB7" s="13"/>
      <c r="BC7" s="14">
        <f t="shared" si="18"/>
        <v>0</v>
      </c>
      <c r="BD7" s="14">
        <f t="shared" si="19"/>
        <v>0</v>
      </c>
      <c r="BE7" s="13"/>
      <c r="BF7" s="14" t="str">
        <f t="shared" si="20"/>
        <v/>
      </c>
      <c r="BG7" s="13"/>
      <c r="BH7" s="14" t="str">
        <f t="shared" si="21"/>
        <v/>
      </c>
      <c r="BI7" s="14">
        <f t="shared" si="22"/>
        <v>0</v>
      </c>
      <c r="BJ7" s="14">
        <f t="shared" si="23"/>
        <v>0</v>
      </c>
      <c r="BK7" s="14" t="str">
        <f t="shared" si="24"/>
        <v>LOW RISK</v>
      </c>
      <c r="BL7" s="14" t="str">
        <f t="shared" si="25"/>
        <v/>
      </c>
      <c r="BM7" s="13"/>
      <c r="BN7" s="12"/>
      <c r="BO7" s="13"/>
      <c r="BP7" s="13"/>
      <c r="BQ7" s="13"/>
      <c r="BR7" s="13"/>
      <c r="BS7" s="13"/>
      <c r="BT7" s="13"/>
      <c r="BU7" s="14" t="str">
        <f t="shared" si="26"/>
        <v/>
      </c>
      <c r="BV7" s="13"/>
      <c r="BW7" s="13"/>
      <c r="BX7" s="13"/>
      <c r="BY7" s="13"/>
      <c r="BZ7" s="13"/>
      <c r="CA7" s="13"/>
      <c r="CB7" s="13"/>
      <c r="CC7" s="14"/>
      <c r="CD7" s="13"/>
      <c r="CE7" s="13"/>
      <c r="CF7" s="12"/>
      <c r="CG7" s="13"/>
      <c r="CH7" s="13"/>
      <c r="CI7" s="13"/>
      <c r="CJ7" s="13"/>
      <c r="CK7" s="13"/>
      <c r="CL7" s="12"/>
      <c r="CM7" s="13"/>
      <c r="CN7" s="13"/>
      <c r="CO7" s="13"/>
      <c r="CP7" s="12"/>
    </row>
    <row r="8" spans="1:94" x14ac:dyDescent="0.2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 t="str">
        <f t="shared" si="0"/>
        <v>✓ Clear to Score</v>
      </c>
      <c r="U8" s="13"/>
      <c r="V8" s="13"/>
      <c r="W8" s="14" t="str">
        <f t="shared" si="1"/>
        <v/>
      </c>
      <c r="X8" s="13"/>
      <c r="Y8" s="14" t="str">
        <f t="shared" si="2"/>
        <v/>
      </c>
      <c r="Z8" s="13"/>
      <c r="AA8" s="14" t="str">
        <f t="shared" si="3"/>
        <v/>
      </c>
      <c r="AB8" s="13"/>
      <c r="AC8" s="14" t="str">
        <f t="shared" si="4"/>
        <v/>
      </c>
      <c r="AD8" s="13"/>
      <c r="AE8" s="14">
        <f t="shared" si="5"/>
        <v>0</v>
      </c>
      <c r="AF8" s="14">
        <f t="shared" si="6"/>
        <v>0</v>
      </c>
      <c r="AG8" s="13"/>
      <c r="AH8" s="14" t="str">
        <f t="shared" si="7"/>
        <v/>
      </c>
      <c r="AI8" s="13"/>
      <c r="AJ8" s="14" t="str">
        <f t="shared" si="8"/>
        <v/>
      </c>
      <c r="AK8" s="13"/>
      <c r="AL8" s="14" t="str">
        <f t="shared" si="9"/>
        <v/>
      </c>
      <c r="AM8" s="13"/>
      <c r="AN8" s="14" t="str">
        <f t="shared" si="10"/>
        <v/>
      </c>
      <c r="AO8" s="13"/>
      <c r="AP8" s="14" t="str">
        <f t="shared" si="11"/>
        <v/>
      </c>
      <c r="AQ8" s="13"/>
      <c r="AR8" s="14">
        <f t="shared" si="12"/>
        <v>0</v>
      </c>
      <c r="AS8" s="13"/>
      <c r="AT8" s="14">
        <f t="shared" si="13"/>
        <v>0</v>
      </c>
      <c r="AU8" s="14">
        <f t="shared" si="14"/>
        <v>0</v>
      </c>
      <c r="AV8" s="13"/>
      <c r="AW8" s="14" t="str">
        <f t="shared" si="15"/>
        <v/>
      </c>
      <c r="AX8" s="13"/>
      <c r="AY8" s="14" t="str">
        <f t="shared" si="16"/>
        <v/>
      </c>
      <c r="AZ8" s="13"/>
      <c r="BA8" s="14" t="str">
        <f t="shared" si="17"/>
        <v/>
      </c>
      <c r="BB8" s="13"/>
      <c r="BC8" s="14">
        <f t="shared" si="18"/>
        <v>0</v>
      </c>
      <c r="BD8" s="14">
        <f t="shared" si="19"/>
        <v>0</v>
      </c>
      <c r="BE8" s="13"/>
      <c r="BF8" s="14" t="str">
        <f t="shared" si="20"/>
        <v/>
      </c>
      <c r="BG8" s="13"/>
      <c r="BH8" s="14" t="str">
        <f t="shared" si="21"/>
        <v/>
      </c>
      <c r="BI8" s="14">
        <f t="shared" si="22"/>
        <v>0</v>
      </c>
      <c r="BJ8" s="14">
        <f t="shared" si="23"/>
        <v>0</v>
      </c>
      <c r="BK8" s="14" t="str">
        <f t="shared" si="24"/>
        <v>LOW RISK</v>
      </c>
      <c r="BL8" s="14" t="str">
        <f t="shared" si="25"/>
        <v/>
      </c>
      <c r="BM8" s="13"/>
      <c r="BN8" s="12"/>
      <c r="BO8" s="13"/>
      <c r="BP8" s="13"/>
      <c r="BQ8" s="13"/>
      <c r="BR8" s="13"/>
      <c r="BS8" s="13"/>
      <c r="BT8" s="13"/>
      <c r="BU8" s="14" t="str">
        <f t="shared" si="26"/>
        <v/>
      </c>
      <c r="BV8" s="13"/>
      <c r="BW8" s="13"/>
      <c r="BX8" s="13"/>
      <c r="BY8" s="13"/>
      <c r="BZ8" s="13"/>
      <c r="CA8" s="13"/>
      <c r="CB8" s="13"/>
      <c r="CC8" s="14"/>
      <c r="CD8" s="13"/>
      <c r="CE8" s="13"/>
      <c r="CF8" s="12"/>
      <c r="CG8" s="13"/>
      <c r="CH8" s="13"/>
      <c r="CI8" s="13"/>
      <c r="CJ8" s="13"/>
      <c r="CK8" s="13"/>
      <c r="CL8" s="12"/>
      <c r="CM8" s="13"/>
      <c r="CN8" s="13"/>
      <c r="CO8" s="13"/>
      <c r="CP8" s="12"/>
    </row>
    <row r="9" spans="1:94" x14ac:dyDescent="0.2">
      <c r="A9" s="12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4" t="str">
        <f t="shared" si="0"/>
        <v>✓ Clear to Score</v>
      </c>
      <c r="U9" s="13"/>
      <c r="V9" s="13"/>
      <c r="W9" s="14" t="str">
        <f t="shared" si="1"/>
        <v/>
      </c>
      <c r="X9" s="13"/>
      <c r="Y9" s="14" t="str">
        <f t="shared" si="2"/>
        <v/>
      </c>
      <c r="Z9" s="13"/>
      <c r="AA9" s="14" t="str">
        <f t="shared" si="3"/>
        <v/>
      </c>
      <c r="AB9" s="13"/>
      <c r="AC9" s="14" t="str">
        <f t="shared" si="4"/>
        <v/>
      </c>
      <c r="AD9" s="13"/>
      <c r="AE9" s="14">
        <f t="shared" si="5"/>
        <v>0</v>
      </c>
      <c r="AF9" s="14">
        <f t="shared" si="6"/>
        <v>0</v>
      </c>
      <c r="AG9" s="13"/>
      <c r="AH9" s="14" t="str">
        <f t="shared" si="7"/>
        <v/>
      </c>
      <c r="AI9" s="13"/>
      <c r="AJ9" s="14" t="str">
        <f t="shared" si="8"/>
        <v/>
      </c>
      <c r="AK9" s="13"/>
      <c r="AL9" s="14" t="str">
        <f t="shared" si="9"/>
        <v/>
      </c>
      <c r="AM9" s="13"/>
      <c r="AN9" s="14" t="str">
        <f t="shared" si="10"/>
        <v/>
      </c>
      <c r="AO9" s="13"/>
      <c r="AP9" s="14" t="str">
        <f t="shared" si="11"/>
        <v/>
      </c>
      <c r="AQ9" s="13"/>
      <c r="AR9" s="14">
        <f t="shared" si="12"/>
        <v>0</v>
      </c>
      <c r="AS9" s="13"/>
      <c r="AT9" s="14">
        <f t="shared" si="13"/>
        <v>0</v>
      </c>
      <c r="AU9" s="14">
        <f t="shared" si="14"/>
        <v>0</v>
      </c>
      <c r="AV9" s="13"/>
      <c r="AW9" s="14" t="str">
        <f t="shared" si="15"/>
        <v/>
      </c>
      <c r="AX9" s="13"/>
      <c r="AY9" s="14" t="str">
        <f t="shared" si="16"/>
        <v/>
      </c>
      <c r="AZ9" s="13"/>
      <c r="BA9" s="14" t="str">
        <f t="shared" si="17"/>
        <v/>
      </c>
      <c r="BB9" s="13"/>
      <c r="BC9" s="14">
        <f t="shared" si="18"/>
        <v>0</v>
      </c>
      <c r="BD9" s="14">
        <f t="shared" si="19"/>
        <v>0</v>
      </c>
      <c r="BE9" s="13"/>
      <c r="BF9" s="14" t="str">
        <f t="shared" si="20"/>
        <v/>
      </c>
      <c r="BG9" s="13"/>
      <c r="BH9" s="14" t="str">
        <f t="shared" si="21"/>
        <v/>
      </c>
      <c r="BI9" s="14">
        <f t="shared" si="22"/>
        <v>0</v>
      </c>
      <c r="BJ9" s="14">
        <f t="shared" si="23"/>
        <v>0</v>
      </c>
      <c r="BK9" s="14" t="str">
        <f t="shared" si="24"/>
        <v>LOW RISK</v>
      </c>
      <c r="BL9" s="14" t="str">
        <f t="shared" si="25"/>
        <v/>
      </c>
      <c r="BM9" s="13"/>
      <c r="BN9" s="12"/>
      <c r="BO9" s="13"/>
      <c r="BP9" s="13"/>
      <c r="BQ9" s="13"/>
      <c r="BR9" s="13"/>
      <c r="BS9" s="13"/>
      <c r="BT9" s="13"/>
      <c r="BU9" s="14" t="str">
        <f t="shared" si="26"/>
        <v/>
      </c>
      <c r="BV9" s="13"/>
      <c r="BW9" s="13"/>
      <c r="BX9" s="13"/>
      <c r="BY9" s="13"/>
      <c r="BZ9" s="13"/>
      <c r="CA9" s="13"/>
      <c r="CB9" s="13"/>
      <c r="CC9" s="14"/>
      <c r="CD9" s="13"/>
      <c r="CE9" s="13"/>
      <c r="CF9" s="12"/>
      <c r="CG9" s="13"/>
      <c r="CH9" s="13"/>
      <c r="CI9" s="13"/>
      <c r="CJ9" s="13"/>
      <c r="CK9" s="13"/>
      <c r="CL9" s="12"/>
      <c r="CM9" s="13"/>
      <c r="CN9" s="13"/>
      <c r="CO9" s="13"/>
      <c r="CP9" s="12"/>
    </row>
    <row r="10" spans="1:94" x14ac:dyDescent="0.2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4" t="str">
        <f t="shared" si="0"/>
        <v>✓ Clear to Score</v>
      </c>
      <c r="U10" s="13"/>
      <c r="V10" s="13"/>
      <c r="W10" s="14" t="str">
        <f t="shared" si="1"/>
        <v/>
      </c>
      <c r="X10" s="13"/>
      <c r="Y10" s="14" t="str">
        <f t="shared" si="2"/>
        <v/>
      </c>
      <c r="Z10" s="13"/>
      <c r="AA10" s="14" t="str">
        <f t="shared" si="3"/>
        <v/>
      </c>
      <c r="AB10" s="13"/>
      <c r="AC10" s="14" t="str">
        <f t="shared" si="4"/>
        <v/>
      </c>
      <c r="AD10" s="13"/>
      <c r="AE10" s="14">
        <f t="shared" si="5"/>
        <v>0</v>
      </c>
      <c r="AF10" s="14">
        <f t="shared" si="6"/>
        <v>0</v>
      </c>
      <c r="AG10" s="13"/>
      <c r="AH10" s="14" t="str">
        <f t="shared" si="7"/>
        <v/>
      </c>
      <c r="AI10" s="13"/>
      <c r="AJ10" s="14" t="str">
        <f t="shared" si="8"/>
        <v/>
      </c>
      <c r="AK10" s="13"/>
      <c r="AL10" s="14" t="str">
        <f t="shared" si="9"/>
        <v/>
      </c>
      <c r="AM10" s="13"/>
      <c r="AN10" s="14" t="str">
        <f t="shared" si="10"/>
        <v/>
      </c>
      <c r="AO10" s="13"/>
      <c r="AP10" s="14" t="str">
        <f t="shared" si="11"/>
        <v/>
      </c>
      <c r="AQ10" s="13"/>
      <c r="AR10" s="14">
        <f t="shared" si="12"/>
        <v>0</v>
      </c>
      <c r="AS10" s="13"/>
      <c r="AT10" s="14">
        <f t="shared" si="13"/>
        <v>0</v>
      </c>
      <c r="AU10" s="14">
        <f t="shared" si="14"/>
        <v>0</v>
      </c>
      <c r="AV10" s="13"/>
      <c r="AW10" s="14" t="str">
        <f t="shared" si="15"/>
        <v/>
      </c>
      <c r="AX10" s="13"/>
      <c r="AY10" s="14" t="str">
        <f t="shared" si="16"/>
        <v/>
      </c>
      <c r="AZ10" s="13"/>
      <c r="BA10" s="14" t="str">
        <f t="shared" si="17"/>
        <v/>
      </c>
      <c r="BB10" s="13"/>
      <c r="BC10" s="14">
        <f t="shared" si="18"/>
        <v>0</v>
      </c>
      <c r="BD10" s="14">
        <f t="shared" si="19"/>
        <v>0</v>
      </c>
      <c r="BE10" s="13"/>
      <c r="BF10" s="14" t="str">
        <f t="shared" si="20"/>
        <v/>
      </c>
      <c r="BG10" s="13"/>
      <c r="BH10" s="14" t="str">
        <f t="shared" si="21"/>
        <v/>
      </c>
      <c r="BI10" s="14">
        <f t="shared" si="22"/>
        <v>0</v>
      </c>
      <c r="BJ10" s="14">
        <f t="shared" si="23"/>
        <v>0</v>
      </c>
      <c r="BK10" s="14" t="str">
        <f t="shared" si="24"/>
        <v>LOW RISK</v>
      </c>
      <c r="BL10" s="14" t="str">
        <f t="shared" si="25"/>
        <v/>
      </c>
      <c r="BM10" s="13"/>
      <c r="BN10" s="12"/>
      <c r="BO10" s="13"/>
      <c r="BP10" s="13"/>
      <c r="BQ10" s="13"/>
      <c r="BR10" s="13"/>
      <c r="BS10" s="13"/>
      <c r="BT10" s="13"/>
      <c r="BU10" s="14" t="str">
        <f t="shared" si="26"/>
        <v/>
      </c>
      <c r="BV10" s="13"/>
      <c r="BW10" s="13"/>
      <c r="BX10" s="13"/>
      <c r="BY10" s="13"/>
      <c r="BZ10" s="13"/>
      <c r="CA10" s="13"/>
      <c r="CB10" s="13"/>
      <c r="CC10" s="14"/>
      <c r="CD10" s="13"/>
      <c r="CE10" s="13"/>
      <c r="CF10" s="12"/>
      <c r="CG10" s="13"/>
      <c r="CH10" s="13"/>
      <c r="CI10" s="13"/>
      <c r="CJ10" s="13"/>
      <c r="CK10" s="13"/>
      <c r="CL10" s="12"/>
      <c r="CM10" s="13"/>
      <c r="CN10" s="13"/>
      <c r="CO10" s="13"/>
      <c r="CP10" s="12"/>
    </row>
    <row r="11" spans="1:94" x14ac:dyDescent="0.2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4" t="str">
        <f t="shared" si="0"/>
        <v>✓ Clear to Score</v>
      </c>
      <c r="U11" s="13"/>
      <c r="V11" s="13"/>
      <c r="W11" s="14" t="str">
        <f t="shared" si="1"/>
        <v/>
      </c>
      <c r="X11" s="13"/>
      <c r="Y11" s="14" t="str">
        <f t="shared" si="2"/>
        <v/>
      </c>
      <c r="Z11" s="13"/>
      <c r="AA11" s="14" t="str">
        <f t="shared" si="3"/>
        <v/>
      </c>
      <c r="AB11" s="13"/>
      <c r="AC11" s="14" t="str">
        <f t="shared" si="4"/>
        <v/>
      </c>
      <c r="AD11" s="13"/>
      <c r="AE11" s="14">
        <f t="shared" si="5"/>
        <v>0</v>
      </c>
      <c r="AF11" s="14">
        <f t="shared" si="6"/>
        <v>0</v>
      </c>
      <c r="AG11" s="13"/>
      <c r="AH11" s="14" t="str">
        <f t="shared" si="7"/>
        <v/>
      </c>
      <c r="AI11" s="13"/>
      <c r="AJ11" s="14" t="str">
        <f t="shared" si="8"/>
        <v/>
      </c>
      <c r="AK11" s="13"/>
      <c r="AL11" s="14" t="str">
        <f t="shared" si="9"/>
        <v/>
      </c>
      <c r="AM11" s="13"/>
      <c r="AN11" s="14" t="str">
        <f t="shared" si="10"/>
        <v/>
      </c>
      <c r="AO11" s="13"/>
      <c r="AP11" s="14" t="str">
        <f t="shared" si="11"/>
        <v/>
      </c>
      <c r="AQ11" s="13"/>
      <c r="AR11" s="14">
        <f t="shared" si="12"/>
        <v>0</v>
      </c>
      <c r="AS11" s="13"/>
      <c r="AT11" s="14">
        <f t="shared" si="13"/>
        <v>0</v>
      </c>
      <c r="AU11" s="14">
        <f t="shared" si="14"/>
        <v>0</v>
      </c>
      <c r="AV11" s="13"/>
      <c r="AW11" s="14" t="str">
        <f t="shared" si="15"/>
        <v/>
      </c>
      <c r="AX11" s="13"/>
      <c r="AY11" s="14" t="str">
        <f t="shared" si="16"/>
        <v/>
      </c>
      <c r="AZ11" s="13"/>
      <c r="BA11" s="14" t="str">
        <f t="shared" si="17"/>
        <v/>
      </c>
      <c r="BB11" s="13"/>
      <c r="BC11" s="14">
        <f t="shared" si="18"/>
        <v>0</v>
      </c>
      <c r="BD11" s="14">
        <f t="shared" si="19"/>
        <v>0</v>
      </c>
      <c r="BE11" s="13"/>
      <c r="BF11" s="14" t="str">
        <f t="shared" si="20"/>
        <v/>
      </c>
      <c r="BG11" s="13"/>
      <c r="BH11" s="14" t="str">
        <f t="shared" si="21"/>
        <v/>
      </c>
      <c r="BI11" s="14">
        <f t="shared" si="22"/>
        <v>0</v>
      </c>
      <c r="BJ11" s="14">
        <f t="shared" si="23"/>
        <v>0</v>
      </c>
      <c r="BK11" s="14" t="str">
        <f t="shared" si="24"/>
        <v>LOW RISK</v>
      </c>
      <c r="BL11" s="14" t="str">
        <f t="shared" si="25"/>
        <v/>
      </c>
      <c r="BM11" s="13"/>
      <c r="BN11" s="12"/>
      <c r="BO11" s="13"/>
      <c r="BP11" s="13"/>
      <c r="BQ11" s="13"/>
      <c r="BR11" s="13"/>
      <c r="BS11" s="13"/>
      <c r="BT11" s="13"/>
      <c r="BU11" s="14" t="str">
        <f t="shared" si="26"/>
        <v/>
      </c>
      <c r="BV11" s="13"/>
      <c r="BW11" s="13"/>
      <c r="BX11" s="13"/>
      <c r="BY11" s="13"/>
      <c r="BZ11" s="13"/>
      <c r="CA11" s="13"/>
      <c r="CB11" s="13"/>
      <c r="CC11" s="14" t="str">
        <f t="shared" ref="CC11:CC34" si="27">IFERROR(IF(COUNTA(BV11:CB11)=0,"",IF(COUNTIF(BV11:CB11,"Y")&gt;0,"YES — EVENT","NO event")),"")</f>
        <v/>
      </c>
      <c r="CD11" s="13"/>
      <c r="CE11" s="13"/>
      <c r="CF11" s="12"/>
      <c r="CG11" s="13"/>
      <c r="CH11" s="13"/>
      <c r="CI11" s="13"/>
      <c r="CJ11" s="13"/>
      <c r="CK11" s="13"/>
      <c r="CL11" s="12"/>
      <c r="CM11" s="13"/>
      <c r="CN11" s="13"/>
      <c r="CO11" s="13"/>
      <c r="CP11" s="12"/>
    </row>
    <row r="12" spans="1:94" x14ac:dyDescent="0.2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4" t="str">
        <f t="shared" si="0"/>
        <v>✓ Clear to Score</v>
      </c>
      <c r="U12" s="13"/>
      <c r="V12" s="13"/>
      <c r="W12" s="14" t="str">
        <f t="shared" si="1"/>
        <v/>
      </c>
      <c r="X12" s="13"/>
      <c r="Y12" s="14" t="str">
        <f t="shared" si="2"/>
        <v/>
      </c>
      <c r="Z12" s="13"/>
      <c r="AA12" s="14" t="str">
        <f t="shared" si="3"/>
        <v/>
      </c>
      <c r="AB12" s="13"/>
      <c r="AC12" s="14" t="str">
        <f t="shared" si="4"/>
        <v/>
      </c>
      <c r="AD12" s="13"/>
      <c r="AE12" s="14">
        <f t="shared" si="5"/>
        <v>0</v>
      </c>
      <c r="AF12" s="14">
        <f t="shared" si="6"/>
        <v>0</v>
      </c>
      <c r="AG12" s="13"/>
      <c r="AH12" s="14" t="str">
        <f t="shared" si="7"/>
        <v/>
      </c>
      <c r="AI12" s="13"/>
      <c r="AJ12" s="14" t="str">
        <f t="shared" si="8"/>
        <v/>
      </c>
      <c r="AK12" s="13"/>
      <c r="AL12" s="14" t="str">
        <f t="shared" si="9"/>
        <v/>
      </c>
      <c r="AM12" s="13"/>
      <c r="AN12" s="14" t="str">
        <f t="shared" si="10"/>
        <v/>
      </c>
      <c r="AO12" s="13"/>
      <c r="AP12" s="14" t="str">
        <f t="shared" si="11"/>
        <v/>
      </c>
      <c r="AQ12" s="13"/>
      <c r="AR12" s="14">
        <f t="shared" si="12"/>
        <v>0</v>
      </c>
      <c r="AS12" s="13"/>
      <c r="AT12" s="14">
        <f t="shared" si="13"/>
        <v>0</v>
      </c>
      <c r="AU12" s="14">
        <f t="shared" si="14"/>
        <v>0</v>
      </c>
      <c r="AV12" s="13"/>
      <c r="AW12" s="14" t="str">
        <f t="shared" si="15"/>
        <v/>
      </c>
      <c r="AX12" s="13"/>
      <c r="AY12" s="14" t="str">
        <f t="shared" si="16"/>
        <v/>
      </c>
      <c r="AZ12" s="13"/>
      <c r="BA12" s="14" t="str">
        <f t="shared" si="17"/>
        <v/>
      </c>
      <c r="BB12" s="13"/>
      <c r="BC12" s="14">
        <f t="shared" si="18"/>
        <v>0</v>
      </c>
      <c r="BD12" s="14">
        <f t="shared" si="19"/>
        <v>0</v>
      </c>
      <c r="BE12" s="13"/>
      <c r="BF12" s="14" t="str">
        <f t="shared" si="20"/>
        <v/>
      </c>
      <c r="BG12" s="13"/>
      <c r="BH12" s="14" t="str">
        <f t="shared" si="21"/>
        <v/>
      </c>
      <c r="BI12" s="14">
        <f t="shared" si="22"/>
        <v>0</v>
      </c>
      <c r="BJ12" s="14">
        <f t="shared" si="23"/>
        <v>0</v>
      </c>
      <c r="BK12" s="14" t="str">
        <f t="shared" si="24"/>
        <v>LOW RISK</v>
      </c>
      <c r="BL12" s="14" t="str">
        <f t="shared" si="25"/>
        <v/>
      </c>
      <c r="BM12" s="13"/>
      <c r="BN12" s="12"/>
      <c r="BO12" s="13"/>
      <c r="BP12" s="13"/>
      <c r="BQ12" s="13"/>
      <c r="BR12" s="13"/>
      <c r="BS12" s="13"/>
      <c r="BT12" s="13"/>
      <c r="BU12" s="14" t="str">
        <f t="shared" si="26"/>
        <v/>
      </c>
      <c r="BV12" s="13"/>
      <c r="BW12" s="13"/>
      <c r="BX12" s="13"/>
      <c r="BY12" s="13"/>
      <c r="BZ12" s="13"/>
      <c r="CA12" s="13"/>
      <c r="CB12" s="13"/>
      <c r="CC12" s="14" t="str">
        <f t="shared" si="27"/>
        <v/>
      </c>
      <c r="CD12" s="13"/>
      <c r="CE12" s="13"/>
      <c r="CF12" s="12"/>
      <c r="CG12" s="13"/>
      <c r="CH12" s="13"/>
      <c r="CI12" s="13"/>
      <c r="CJ12" s="13"/>
      <c r="CK12" s="13"/>
      <c r="CL12" s="12"/>
      <c r="CM12" s="13"/>
      <c r="CN12" s="13"/>
      <c r="CO12" s="13"/>
      <c r="CP12" s="12"/>
    </row>
    <row r="13" spans="1:94" x14ac:dyDescent="0.2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4" t="str">
        <f t="shared" si="0"/>
        <v>✓ Clear to Score</v>
      </c>
      <c r="U13" s="13"/>
      <c r="V13" s="13"/>
      <c r="W13" s="14" t="str">
        <f t="shared" si="1"/>
        <v/>
      </c>
      <c r="X13" s="13"/>
      <c r="Y13" s="14" t="str">
        <f t="shared" si="2"/>
        <v/>
      </c>
      <c r="Z13" s="13"/>
      <c r="AA13" s="14" t="str">
        <f t="shared" si="3"/>
        <v/>
      </c>
      <c r="AB13" s="13"/>
      <c r="AC13" s="14" t="str">
        <f t="shared" si="4"/>
        <v/>
      </c>
      <c r="AD13" s="13"/>
      <c r="AE13" s="14">
        <f t="shared" si="5"/>
        <v>0</v>
      </c>
      <c r="AF13" s="14">
        <f t="shared" si="6"/>
        <v>0</v>
      </c>
      <c r="AG13" s="13"/>
      <c r="AH13" s="14" t="str">
        <f t="shared" si="7"/>
        <v/>
      </c>
      <c r="AI13" s="13"/>
      <c r="AJ13" s="14" t="str">
        <f t="shared" si="8"/>
        <v/>
      </c>
      <c r="AK13" s="13"/>
      <c r="AL13" s="14" t="str">
        <f t="shared" si="9"/>
        <v/>
      </c>
      <c r="AM13" s="13"/>
      <c r="AN13" s="14" t="str">
        <f t="shared" si="10"/>
        <v/>
      </c>
      <c r="AO13" s="13"/>
      <c r="AP13" s="14" t="str">
        <f t="shared" si="11"/>
        <v/>
      </c>
      <c r="AQ13" s="13"/>
      <c r="AR13" s="14">
        <f t="shared" si="12"/>
        <v>0</v>
      </c>
      <c r="AS13" s="13"/>
      <c r="AT13" s="14">
        <f t="shared" si="13"/>
        <v>0</v>
      </c>
      <c r="AU13" s="14">
        <f t="shared" si="14"/>
        <v>0</v>
      </c>
      <c r="AV13" s="13"/>
      <c r="AW13" s="14" t="str">
        <f t="shared" si="15"/>
        <v/>
      </c>
      <c r="AX13" s="13"/>
      <c r="AY13" s="14" t="str">
        <f t="shared" si="16"/>
        <v/>
      </c>
      <c r="AZ13" s="13"/>
      <c r="BA13" s="14" t="str">
        <f t="shared" si="17"/>
        <v/>
      </c>
      <c r="BB13" s="13"/>
      <c r="BC13" s="14">
        <f t="shared" si="18"/>
        <v>0</v>
      </c>
      <c r="BD13" s="14">
        <f t="shared" si="19"/>
        <v>0</v>
      </c>
      <c r="BE13" s="13"/>
      <c r="BF13" s="14" t="str">
        <f t="shared" si="20"/>
        <v/>
      </c>
      <c r="BG13" s="13"/>
      <c r="BH13" s="14" t="str">
        <f t="shared" si="21"/>
        <v/>
      </c>
      <c r="BI13" s="14">
        <f t="shared" si="22"/>
        <v>0</v>
      </c>
      <c r="BJ13" s="14">
        <f t="shared" si="23"/>
        <v>0</v>
      </c>
      <c r="BK13" s="14" t="str">
        <f t="shared" si="24"/>
        <v>LOW RISK</v>
      </c>
      <c r="BL13" s="14" t="str">
        <f t="shared" si="25"/>
        <v/>
      </c>
      <c r="BM13" s="13"/>
      <c r="BN13" s="12"/>
      <c r="BO13" s="13"/>
      <c r="BP13" s="13"/>
      <c r="BQ13" s="13"/>
      <c r="BR13" s="13"/>
      <c r="BS13" s="13"/>
      <c r="BT13" s="13"/>
      <c r="BU13" s="14" t="str">
        <f t="shared" si="26"/>
        <v/>
      </c>
      <c r="BV13" s="13"/>
      <c r="BW13" s="13"/>
      <c r="BX13" s="13"/>
      <c r="BY13" s="13"/>
      <c r="BZ13" s="13"/>
      <c r="CA13" s="13"/>
      <c r="CB13" s="13"/>
      <c r="CC13" s="14" t="str">
        <f t="shared" si="27"/>
        <v/>
      </c>
      <c r="CD13" s="13"/>
      <c r="CE13" s="13"/>
      <c r="CF13" s="12"/>
      <c r="CG13" s="13"/>
      <c r="CH13" s="13"/>
      <c r="CI13" s="13"/>
      <c r="CJ13" s="13"/>
      <c r="CK13" s="13"/>
      <c r="CL13" s="12"/>
      <c r="CM13" s="13"/>
      <c r="CN13" s="13"/>
      <c r="CO13" s="13"/>
      <c r="CP13" s="12"/>
    </row>
    <row r="14" spans="1:94" x14ac:dyDescent="0.2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4" t="str">
        <f t="shared" si="0"/>
        <v>✓ Clear to Score</v>
      </c>
      <c r="U14" s="13"/>
      <c r="V14" s="13"/>
      <c r="W14" s="14" t="str">
        <f t="shared" si="1"/>
        <v/>
      </c>
      <c r="X14" s="13"/>
      <c r="Y14" s="14" t="str">
        <f t="shared" si="2"/>
        <v/>
      </c>
      <c r="Z14" s="13"/>
      <c r="AA14" s="14" t="str">
        <f t="shared" si="3"/>
        <v/>
      </c>
      <c r="AB14" s="13"/>
      <c r="AC14" s="14" t="str">
        <f t="shared" si="4"/>
        <v/>
      </c>
      <c r="AD14" s="13"/>
      <c r="AE14" s="14">
        <f t="shared" si="5"/>
        <v>0</v>
      </c>
      <c r="AF14" s="14">
        <f t="shared" si="6"/>
        <v>0</v>
      </c>
      <c r="AG14" s="13"/>
      <c r="AH14" s="14" t="str">
        <f t="shared" si="7"/>
        <v/>
      </c>
      <c r="AI14" s="13"/>
      <c r="AJ14" s="14" t="str">
        <f t="shared" si="8"/>
        <v/>
      </c>
      <c r="AK14" s="13"/>
      <c r="AL14" s="14" t="str">
        <f t="shared" si="9"/>
        <v/>
      </c>
      <c r="AM14" s="13"/>
      <c r="AN14" s="14" t="str">
        <f t="shared" si="10"/>
        <v/>
      </c>
      <c r="AO14" s="13"/>
      <c r="AP14" s="14" t="str">
        <f t="shared" si="11"/>
        <v/>
      </c>
      <c r="AQ14" s="13"/>
      <c r="AR14" s="14">
        <f t="shared" si="12"/>
        <v>0</v>
      </c>
      <c r="AS14" s="13"/>
      <c r="AT14" s="14">
        <f t="shared" si="13"/>
        <v>0</v>
      </c>
      <c r="AU14" s="14">
        <f t="shared" si="14"/>
        <v>0</v>
      </c>
      <c r="AV14" s="13"/>
      <c r="AW14" s="14" t="str">
        <f t="shared" si="15"/>
        <v/>
      </c>
      <c r="AX14" s="13"/>
      <c r="AY14" s="14" t="str">
        <f t="shared" si="16"/>
        <v/>
      </c>
      <c r="AZ14" s="13"/>
      <c r="BA14" s="14" t="str">
        <f t="shared" si="17"/>
        <v/>
      </c>
      <c r="BB14" s="13"/>
      <c r="BC14" s="14">
        <f t="shared" si="18"/>
        <v>0</v>
      </c>
      <c r="BD14" s="14">
        <f t="shared" si="19"/>
        <v>0</v>
      </c>
      <c r="BE14" s="13"/>
      <c r="BF14" s="14" t="str">
        <f t="shared" si="20"/>
        <v/>
      </c>
      <c r="BG14" s="13"/>
      <c r="BH14" s="14" t="str">
        <f t="shared" si="21"/>
        <v/>
      </c>
      <c r="BI14" s="14">
        <f t="shared" si="22"/>
        <v>0</v>
      </c>
      <c r="BJ14" s="14">
        <f t="shared" si="23"/>
        <v>0</v>
      </c>
      <c r="BK14" s="14" t="str">
        <f t="shared" si="24"/>
        <v>LOW RISK</v>
      </c>
      <c r="BL14" s="14" t="str">
        <f t="shared" si="25"/>
        <v/>
      </c>
      <c r="BM14" s="13"/>
      <c r="BN14" s="12"/>
      <c r="BO14" s="13"/>
      <c r="BP14" s="13"/>
      <c r="BQ14" s="13"/>
      <c r="BR14" s="13"/>
      <c r="BS14" s="13"/>
      <c r="BT14" s="13"/>
      <c r="BU14" s="14" t="str">
        <f t="shared" si="26"/>
        <v/>
      </c>
      <c r="BV14" s="13"/>
      <c r="BW14" s="13"/>
      <c r="BX14" s="13"/>
      <c r="BY14" s="13"/>
      <c r="BZ14" s="13"/>
      <c r="CA14" s="13"/>
      <c r="CB14" s="13"/>
      <c r="CC14" s="14" t="str">
        <f t="shared" si="27"/>
        <v/>
      </c>
      <c r="CD14" s="13"/>
      <c r="CE14" s="13"/>
      <c r="CF14" s="12"/>
      <c r="CG14" s="13"/>
      <c r="CH14" s="13"/>
      <c r="CI14" s="13"/>
      <c r="CJ14" s="13"/>
      <c r="CK14" s="13"/>
      <c r="CL14" s="12"/>
      <c r="CM14" s="13"/>
      <c r="CN14" s="13"/>
      <c r="CO14" s="13"/>
      <c r="CP14" s="12"/>
    </row>
    <row r="15" spans="1:94" x14ac:dyDescent="0.2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4" t="str">
        <f t="shared" si="0"/>
        <v>✓ Clear to Score</v>
      </c>
      <c r="U15" s="13"/>
      <c r="V15" s="13"/>
      <c r="W15" s="14" t="str">
        <f t="shared" si="1"/>
        <v/>
      </c>
      <c r="X15" s="13"/>
      <c r="Y15" s="14" t="str">
        <f t="shared" si="2"/>
        <v/>
      </c>
      <c r="Z15" s="13"/>
      <c r="AA15" s="14" t="str">
        <f t="shared" si="3"/>
        <v/>
      </c>
      <c r="AB15" s="13"/>
      <c r="AC15" s="14" t="str">
        <f t="shared" si="4"/>
        <v/>
      </c>
      <c r="AD15" s="13"/>
      <c r="AE15" s="14">
        <f t="shared" si="5"/>
        <v>0</v>
      </c>
      <c r="AF15" s="14">
        <f t="shared" si="6"/>
        <v>0</v>
      </c>
      <c r="AG15" s="13"/>
      <c r="AH15" s="14" t="str">
        <f t="shared" si="7"/>
        <v/>
      </c>
      <c r="AI15" s="13"/>
      <c r="AJ15" s="14" t="str">
        <f t="shared" si="8"/>
        <v/>
      </c>
      <c r="AK15" s="13"/>
      <c r="AL15" s="14" t="str">
        <f t="shared" si="9"/>
        <v/>
      </c>
      <c r="AM15" s="13"/>
      <c r="AN15" s="14" t="str">
        <f t="shared" si="10"/>
        <v/>
      </c>
      <c r="AO15" s="13"/>
      <c r="AP15" s="14" t="str">
        <f t="shared" si="11"/>
        <v/>
      </c>
      <c r="AQ15" s="13"/>
      <c r="AR15" s="14">
        <f t="shared" si="12"/>
        <v>0</v>
      </c>
      <c r="AS15" s="13"/>
      <c r="AT15" s="14">
        <f t="shared" si="13"/>
        <v>0</v>
      </c>
      <c r="AU15" s="14">
        <f t="shared" si="14"/>
        <v>0</v>
      </c>
      <c r="AV15" s="13"/>
      <c r="AW15" s="14" t="str">
        <f t="shared" si="15"/>
        <v/>
      </c>
      <c r="AX15" s="13"/>
      <c r="AY15" s="14" t="str">
        <f t="shared" si="16"/>
        <v/>
      </c>
      <c r="AZ15" s="13"/>
      <c r="BA15" s="14" t="str">
        <f t="shared" si="17"/>
        <v/>
      </c>
      <c r="BB15" s="13"/>
      <c r="BC15" s="14">
        <f t="shared" si="18"/>
        <v>0</v>
      </c>
      <c r="BD15" s="14">
        <f t="shared" si="19"/>
        <v>0</v>
      </c>
      <c r="BE15" s="13"/>
      <c r="BF15" s="14" t="str">
        <f t="shared" si="20"/>
        <v/>
      </c>
      <c r="BG15" s="13"/>
      <c r="BH15" s="14" t="str">
        <f t="shared" si="21"/>
        <v/>
      </c>
      <c r="BI15" s="14">
        <f t="shared" si="22"/>
        <v>0</v>
      </c>
      <c r="BJ15" s="14">
        <f t="shared" si="23"/>
        <v>0</v>
      </c>
      <c r="BK15" s="14" t="str">
        <f t="shared" si="24"/>
        <v>LOW RISK</v>
      </c>
      <c r="BL15" s="14" t="str">
        <f t="shared" si="25"/>
        <v/>
      </c>
      <c r="BM15" s="13"/>
      <c r="BN15" s="12"/>
      <c r="BO15" s="13"/>
      <c r="BP15" s="13"/>
      <c r="BQ15" s="13"/>
      <c r="BR15" s="13"/>
      <c r="BS15" s="13"/>
      <c r="BT15" s="13"/>
      <c r="BU15" s="14" t="str">
        <f t="shared" si="26"/>
        <v/>
      </c>
      <c r="BV15" s="13"/>
      <c r="BW15" s="13"/>
      <c r="BX15" s="13"/>
      <c r="BY15" s="13"/>
      <c r="BZ15" s="13"/>
      <c r="CA15" s="13"/>
      <c r="CB15" s="13"/>
      <c r="CC15" s="14" t="str">
        <f t="shared" si="27"/>
        <v/>
      </c>
      <c r="CD15" s="13"/>
      <c r="CE15" s="13"/>
      <c r="CF15" s="12"/>
      <c r="CG15" s="13"/>
      <c r="CH15" s="13"/>
      <c r="CI15" s="13"/>
      <c r="CJ15" s="13"/>
      <c r="CK15" s="13"/>
      <c r="CL15" s="12"/>
      <c r="CM15" s="13"/>
      <c r="CN15" s="13"/>
      <c r="CO15" s="13"/>
      <c r="CP15" s="12"/>
    </row>
    <row r="16" spans="1:94" x14ac:dyDescent="0.2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4" t="str">
        <f t="shared" si="0"/>
        <v>✓ Clear to Score</v>
      </c>
      <c r="U16" s="13"/>
      <c r="V16" s="13"/>
      <c r="W16" s="14" t="str">
        <f t="shared" si="1"/>
        <v/>
      </c>
      <c r="X16" s="13"/>
      <c r="Y16" s="14" t="str">
        <f t="shared" si="2"/>
        <v/>
      </c>
      <c r="Z16" s="13"/>
      <c r="AA16" s="14" t="str">
        <f t="shared" si="3"/>
        <v/>
      </c>
      <c r="AB16" s="13"/>
      <c r="AC16" s="14" t="str">
        <f t="shared" si="4"/>
        <v/>
      </c>
      <c r="AD16" s="13"/>
      <c r="AE16" s="14">
        <f t="shared" si="5"/>
        <v>0</v>
      </c>
      <c r="AF16" s="14">
        <f t="shared" si="6"/>
        <v>0</v>
      </c>
      <c r="AG16" s="13"/>
      <c r="AH16" s="14" t="str">
        <f t="shared" si="7"/>
        <v/>
      </c>
      <c r="AI16" s="13"/>
      <c r="AJ16" s="14" t="str">
        <f t="shared" si="8"/>
        <v/>
      </c>
      <c r="AK16" s="13"/>
      <c r="AL16" s="14" t="str">
        <f t="shared" si="9"/>
        <v/>
      </c>
      <c r="AM16" s="13"/>
      <c r="AN16" s="14" t="str">
        <f t="shared" si="10"/>
        <v/>
      </c>
      <c r="AO16" s="13"/>
      <c r="AP16" s="14" t="str">
        <f t="shared" si="11"/>
        <v/>
      </c>
      <c r="AQ16" s="13"/>
      <c r="AR16" s="14">
        <f t="shared" si="12"/>
        <v>0</v>
      </c>
      <c r="AS16" s="13"/>
      <c r="AT16" s="14">
        <f t="shared" si="13"/>
        <v>0</v>
      </c>
      <c r="AU16" s="14">
        <f t="shared" si="14"/>
        <v>0</v>
      </c>
      <c r="AV16" s="13"/>
      <c r="AW16" s="14" t="str">
        <f t="shared" si="15"/>
        <v/>
      </c>
      <c r="AX16" s="13"/>
      <c r="AY16" s="14" t="str">
        <f t="shared" si="16"/>
        <v/>
      </c>
      <c r="AZ16" s="13"/>
      <c r="BA16" s="14" t="str">
        <f t="shared" si="17"/>
        <v/>
      </c>
      <c r="BB16" s="13"/>
      <c r="BC16" s="14">
        <f t="shared" si="18"/>
        <v>0</v>
      </c>
      <c r="BD16" s="14">
        <f t="shared" si="19"/>
        <v>0</v>
      </c>
      <c r="BE16" s="13"/>
      <c r="BF16" s="14" t="str">
        <f t="shared" si="20"/>
        <v/>
      </c>
      <c r="BG16" s="13"/>
      <c r="BH16" s="14" t="str">
        <f t="shared" si="21"/>
        <v/>
      </c>
      <c r="BI16" s="14">
        <f t="shared" si="22"/>
        <v>0</v>
      </c>
      <c r="BJ16" s="14">
        <f t="shared" si="23"/>
        <v>0</v>
      </c>
      <c r="BK16" s="14" t="str">
        <f t="shared" si="24"/>
        <v>LOW RISK</v>
      </c>
      <c r="BL16" s="14" t="str">
        <f t="shared" si="25"/>
        <v/>
      </c>
      <c r="BM16" s="13"/>
      <c r="BN16" s="12"/>
      <c r="BO16" s="13"/>
      <c r="BP16" s="13"/>
      <c r="BQ16" s="13"/>
      <c r="BR16" s="13"/>
      <c r="BS16" s="13"/>
      <c r="BT16" s="13"/>
      <c r="BU16" s="14" t="str">
        <f t="shared" si="26"/>
        <v/>
      </c>
      <c r="BV16" s="13"/>
      <c r="BW16" s="13"/>
      <c r="BX16" s="13"/>
      <c r="BY16" s="13"/>
      <c r="BZ16" s="13"/>
      <c r="CA16" s="13"/>
      <c r="CB16" s="13"/>
      <c r="CC16" s="14" t="str">
        <f t="shared" si="27"/>
        <v/>
      </c>
      <c r="CD16" s="13"/>
      <c r="CE16" s="13"/>
      <c r="CF16" s="12"/>
      <c r="CG16" s="13"/>
      <c r="CH16" s="13"/>
      <c r="CI16" s="13"/>
      <c r="CJ16" s="13"/>
      <c r="CK16" s="13"/>
      <c r="CL16" s="12"/>
      <c r="CM16" s="13"/>
      <c r="CN16" s="13"/>
      <c r="CO16" s="13"/>
      <c r="CP16" s="12"/>
    </row>
    <row r="17" spans="1:94" x14ac:dyDescent="0.2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4" t="str">
        <f t="shared" si="0"/>
        <v>✓ Clear to Score</v>
      </c>
      <c r="U17" s="13"/>
      <c r="V17" s="13"/>
      <c r="W17" s="14" t="str">
        <f t="shared" si="1"/>
        <v/>
      </c>
      <c r="X17" s="13"/>
      <c r="Y17" s="14" t="str">
        <f t="shared" si="2"/>
        <v/>
      </c>
      <c r="Z17" s="13"/>
      <c r="AA17" s="14" t="str">
        <f t="shared" si="3"/>
        <v/>
      </c>
      <c r="AB17" s="13"/>
      <c r="AC17" s="14" t="str">
        <f t="shared" si="4"/>
        <v/>
      </c>
      <c r="AD17" s="13"/>
      <c r="AE17" s="14">
        <f t="shared" si="5"/>
        <v>0</v>
      </c>
      <c r="AF17" s="14">
        <f t="shared" si="6"/>
        <v>0</v>
      </c>
      <c r="AG17" s="13"/>
      <c r="AH17" s="14" t="str">
        <f t="shared" si="7"/>
        <v/>
      </c>
      <c r="AI17" s="13"/>
      <c r="AJ17" s="14" t="str">
        <f t="shared" si="8"/>
        <v/>
      </c>
      <c r="AK17" s="13"/>
      <c r="AL17" s="14" t="str">
        <f t="shared" si="9"/>
        <v/>
      </c>
      <c r="AM17" s="13"/>
      <c r="AN17" s="14" t="str">
        <f t="shared" si="10"/>
        <v/>
      </c>
      <c r="AO17" s="13"/>
      <c r="AP17" s="14" t="str">
        <f t="shared" si="11"/>
        <v/>
      </c>
      <c r="AQ17" s="13"/>
      <c r="AR17" s="14">
        <f t="shared" si="12"/>
        <v>0</v>
      </c>
      <c r="AS17" s="13"/>
      <c r="AT17" s="14">
        <f t="shared" si="13"/>
        <v>0</v>
      </c>
      <c r="AU17" s="14">
        <f t="shared" si="14"/>
        <v>0</v>
      </c>
      <c r="AV17" s="13"/>
      <c r="AW17" s="14" t="str">
        <f t="shared" si="15"/>
        <v/>
      </c>
      <c r="AX17" s="13"/>
      <c r="AY17" s="14" t="str">
        <f t="shared" si="16"/>
        <v/>
      </c>
      <c r="AZ17" s="13"/>
      <c r="BA17" s="14" t="str">
        <f t="shared" si="17"/>
        <v/>
      </c>
      <c r="BB17" s="13"/>
      <c r="BC17" s="14">
        <f t="shared" si="18"/>
        <v>0</v>
      </c>
      <c r="BD17" s="14">
        <f t="shared" si="19"/>
        <v>0</v>
      </c>
      <c r="BE17" s="13"/>
      <c r="BF17" s="14" t="str">
        <f t="shared" si="20"/>
        <v/>
      </c>
      <c r="BG17" s="13"/>
      <c r="BH17" s="14" t="str">
        <f t="shared" si="21"/>
        <v/>
      </c>
      <c r="BI17" s="14">
        <f t="shared" si="22"/>
        <v>0</v>
      </c>
      <c r="BJ17" s="14">
        <f t="shared" si="23"/>
        <v>0</v>
      </c>
      <c r="BK17" s="14" t="str">
        <f t="shared" si="24"/>
        <v>LOW RISK</v>
      </c>
      <c r="BL17" s="14" t="str">
        <f t="shared" si="25"/>
        <v/>
      </c>
      <c r="BM17" s="13"/>
      <c r="BN17" s="12"/>
      <c r="BO17" s="13"/>
      <c r="BP17" s="13"/>
      <c r="BQ17" s="13"/>
      <c r="BR17" s="13"/>
      <c r="BS17" s="13"/>
      <c r="BT17" s="13"/>
      <c r="BU17" s="14" t="str">
        <f t="shared" si="26"/>
        <v/>
      </c>
      <c r="BV17" s="13"/>
      <c r="BW17" s="13"/>
      <c r="BX17" s="13"/>
      <c r="BY17" s="13"/>
      <c r="BZ17" s="13"/>
      <c r="CA17" s="13"/>
      <c r="CB17" s="13"/>
      <c r="CC17" s="14" t="str">
        <f t="shared" si="27"/>
        <v/>
      </c>
      <c r="CD17" s="13"/>
      <c r="CE17" s="13"/>
      <c r="CF17" s="12"/>
      <c r="CG17" s="13"/>
      <c r="CH17" s="13"/>
      <c r="CI17" s="13"/>
      <c r="CJ17" s="13"/>
      <c r="CK17" s="13"/>
      <c r="CL17" s="12"/>
      <c r="CM17" s="13"/>
      <c r="CN17" s="13"/>
      <c r="CO17" s="13"/>
      <c r="CP17" s="12"/>
    </row>
    <row r="18" spans="1:94" x14ac:dyDescent="0.2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4" t="str">
        <f t="shared" si="0"/>
        <v>✓ Clear to Score</v>
      </c>
      <c r="U18" s="13"/>
      <c r="V18" s="13"/>
      <c r="W18" s="14" t="str">
        <f t="shared" si="1"/>
        <v/>
      </c>
      <c r="X18" s="13"/>
      <c r="Y18" s="14" t="str">
        <f t="shared" si="2"/>
        <v/>
      </c>
      <c r="Z18" s="13"/>
      <c r="AA18" s="14" t="str">
        <f t="shared" si="3"/>
        <v/>
      </c>
      <c r="AB18" s="13"/>
      <c r="AC18" s="14" t="str">
        <f t="shared" si="4"/>
        <v/>
      </c>
      <c r="AD18" s="13"/>
      <c r="AE18" s="14">
        <f t="shared" si="5"/>
        <v>0</v>
      </c>
      <c r="AF18" s="14">
        <f t="shared" si="6"/>
        <v>0</v>
      </c>
      <c r="AG18" s="13"/>
      <c r="AH18" s="14" t="str">
        <f t="shared" si="7"/>
        <v/>
      </c>
      <c r="AI18" s="13"/>
      <c r="AJ18" s="14" t="str">
        <f t="shared" si="8"/>
        <v/>
      </c>
      <c r="AK18" s="13"/>
      <c r="AL18" s="14" t="str">
        <f t="shared" si="9"/>
        <v/>
      </c>
      <c r="AM18" s="13"/>
      <c r="AN18" s="14" t="str">
        <f t="shared" si="10"/>
        <v/>
      </c>
      <c r="AO18" s="13"/>
      <c r="AP18" s="14" t="str">
        <f t="shared" si="11"/>
        <v/>
      </c>
      <c r="AQ18" s="13"/>
      <c r="AR18" s="14">
        <f t="shared" si="12"/>
        <v>0</v>
      </c>
      <c r="AS18" s="13"/>
      <c r="AT18" s="14">
        <f t="shared" si="13"/>
        <v>0</v>
      </c>
      <c r="AU18" s="14">
        <f t="shared" si="14"/>
        <v>0</v>
      </c>
      <c r="AV18" s="13"/>
      <c r="AW18" s="14" t="str">
        <f t="shared" si="15"/>
        <v/>
      </c>
      <c r="AX18" s="13"/>
      <c r="AY18" s="14" t="str">
        <f t="shared" si="16"/>
        <v/>
      </c>
      <c r="AZ18" s="13"/>
      <c r="BA18" s="14" t="str">
        <f t="shared" si="17"/>
        <v/>
      </c>
      <c r="BB18" s="13"/>
      <c r="BC18" s="14">
        <f t="shared" si="18"/>
        <v>0</v>
      </c>
      <c r="BD18" s="14">
        <f t="shared" si="19"/>
        <v>0</v>
      </c>
      <c r="BE18" s="13"/>
      <c r="BF18" s="14" t="str">
        <f t="shared" si="20"/>
        <v/>
      </c>
      <c r="BG18" s="13"/>
      <c r="BH18" s="14" t="str">
        <f t="shared" si="21"/>
        <v/>
      </c>
      <c r="BI18" s="14">
        <f t="shared" si="22"/>
        <v>0</v>
      </c>
      <c r="BJ18" s="14">
        <f t="shared" si="23"/>
        <v>0</v>
      </c>
      <c r="BK18" s="14" t="str">
        <f t="shared" si="24"/>
        <v>LOW RISK</v>
      </c>
      <c r="BL18" s="14" t="str">
        <f t="shared" si="25"/>
        <v/>
      </c>
      <c r="BM18" s="13"/>
      <c r="BN18" s="12"/>
      <c r="BO18" s="13"/>
      <c r="BP18" s="13"/>
      <c r="BQ18" s="13"/>
      <c r="BR18" s="13"/>
      <c r="BS18" s="13"/>
      <c r="BT18" s="13"/>
      <c r="BU18" s="14" t="str">
        <f t="shared" si="26"/>
        <v/>
      </c>
      <c r="BV18" s="13"/>
      <c r="BW18" s="13"/>
      <c r="BX18" s="13"/>
      <c r="BY18" s="13"/>
      <c r="BZ18" s="13"/>
      <c r="CA18" s="13"/>
      <c r="CB18" s="13"/>
      <c r="CC18" s="14" t="str">
        <f t="shared" si="27"/>
        <v/>
      </c>
      <c r="CD18" s="13"/>
      <c r="CE18" s="13"/>
      <c r="CF18" s="12"/>
      <c r="CG18" s="13"/>
      <c r="CH18" s="13"/>
      <c r="CI18" s="13"/>
      <c r="CJ18" s="13"/>
      <c r="CK18" s="13"/>
      <c r="CL18" s="12"/>
      <c r="CM18" s="13"/>
      <c r="CN18" s="13"/>
      <c r="CO18" s="13"/>
      <c r="CP18" s="12"/>
    </row>
    <row r="19" spans="1:94" x14ac:dyDescent="0.2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4" t="str">
        <f t="shared" si="0"/>
        <v>✓ Clear to Score</v>
      </c>
      <c r="U19" s="13"/>
      <c r="V19" s="13"/>
      <c r="W19" s="14" t="str">
        <f t="shared" si="1"/>
        <v/>
      </c>
      <c r="X19" s="13"/>
      <c r="Y19" s="14" t="str">
        <f t="shared" si="2"/>
        <v/>
      </c>
      <c r="Z19" s="13"/>
      <c r="AA19" s="14" t="str">
        <f t="shared" si="3"/>
        <v/>
      </c>
      <c r="AB19" s="13"/>
      <c r="AC19" s="14" t="str">
        <f t="shared" si="4"/>
        <v/>
      </c>
      <c r="AD19" s="13"/>
      <c r="AE19" s="14">
        <f t="shared" si="5"/>
        <v>0</v>
      </c>
      <c r="AF19" s="14">
        <f t="shared" si="6"/>
        <v>0</v>
      </c>
      <c r="AG19" s="13"/>
      <c r="AH19" s="14" t="str">
        <f t="shared" si="7"/>
        <v/>
      </c>
      <c r="AI19" s="13"/>
      <c r="AJ19" s="14" t="str">
        <f t="shared" si="8"/>
        <v/>
      </c>
      <c r="AK19" s="13"/>
      <c r="AL19" s="14" t="str">
        <f t="shared" si="9"/>
        <v/>
      </c>
      <c r="AM19" s="13"/>
      <c r="AN19" s="14" t="str">
        <f t="shared" si="10"/>
        <v/>
      </c>
      <c r="AO19" s="13"/>
      <c r="AP19" s="14" t="str">
        <f t="shared" si="11"/>
        <v/>
      </c>
      <c r="AQ19" s="13"/>
      <c r="AR19" s="14">
        <f t="shared" si="12"/>
        <v>0</v>
      </c>
      <c r="AS19" s="13"/>
      <c r="AT19" s="14">
        <f t="shared" si="13"/>
        <v>0</v>
      </c>
      <c r="AU19" s="14">
        <f t="shared" si="14"/>
        <v>0</v>
      </c>
      <c r="AV19" s="13"/>
      <c r="AW19" s="14" t="str">
        <f t="shared" si="15"/>
        <v/>
      </c>
      <c r="AX19" s="13"/>
      <c r="AY19" s="14" t="str">
        <f t="shared" si="16"/>
        <v/>
      </c>
      <c r="AZ19" s="13"/>
      <c r="BA19" s="14" t="str">
        <f t="shared" si="17"/>
        <v/>
      </c>
      <c r="BB19" s="13"/>
      <c r="BC19" s="14">
        <f t="shared" si="18"/>
        <v>0</v>
      </c>
      <c r="BD19" s="14">
        <f t="shared" si="19"/>
        <v>0</v>
      </c>
      <c r="BE19" s="13"/>
      <c r="BF19" s="14" t="str">
        <f t="shared" si="20"/>
        <v/>
      </c>
      <c r="BG19" s="13"/>
      <c r="BH19" s="14" t="str">
        <f t="shared" si="21"/>
        <v/>
      </c>
      <c r="BI19" s="14">
        <f t="shared" si="22"/>
        <v>0</v>
      </c>
      <c r="BJ19" s="14">
        <f t="shared" si="23"/>
        <v>0</v>
      </c>
      <c r="BK19" s="14" t="str">
        <f t="shared" si="24"/>
        <v>LOW RISK</v>
      </c>
      <c r="BL19" s="14" t="str">
        <f t="shared" si="25"/>
        <v/>
      </c>
      <c r="BM19" s="13"/>
      <c r="BN19" s="12"/>
      <c r="BO19" s="13"/>
      <c r="BP19" s="13"/>
      <c r="BQ19" s="13"/>
      <c r="BR19" s="13"/>
      <c r="BS19" s="13"/>
      <c r="BT19" s="13"/>
      <c r="BU19" s="14" t="str">
        <f t="shared" si="26"/>
        <v/>
      </c>
      <c r="BV19" s="13"/>
      <c r="BW19" s="13"/>
      <c r="BX19" s="13"/>
      <c r="BY19" s="13"/>
      <c r="BZ19" s="13"/>
      <c r="CA19" s="13"/>
      <c r="CB19" s="13"/>
      <c r="CC19" s="14" t="str">
        <f t="shared" si="27"/>
        <v/>
      </c>
      <c r="CD19" s="13"/>
      <c r="CE19" s="13"/>
      <c r="CF19" s="12"/>
      <c r="CG19" s="13"/>
      <c r="CH19" s="13"/>
      <c r="CI19" s="13"/>
      <c r="CJ19" s="13"/>
      <c r="CK19" s="13"/>
      <c r="CL19" s="12"/>
      <c r="CM19" s="13"/>
      <c r="CN19" s="13"/>
      <c r="CO19" s="13"/>
      <c r="CP19" s="12"/>
    </row>
    <row r="20" spans="1:94" x14ac:dyDescent="0.2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4" t="str">
        <f t="shared" si="0"/>
        <v>✓ Clear to Score</v>
      </c>
      <c r="U20" s="13"/>
      <c r="V20" s="13"/>
      <c r="W20" s="14" t="str">
        <f t="shared" si="1"/>
        <v/>
      </c>
      <c r="X20" s="13"/>
      <c r="Y20" s="14" t="str">
        <f t="shared" si="2"/>
        <v/>
      </c>
      <c r="Z20" s="13"/>
      <c r="AA20" s="14" t="str">
        <f t="shared" si="3"/>
        <v/>
      </c>
      <c r="AB20" s="13"/>
      <c r="AC20" s="14" t="str">
        <f t="shared" si="4"/>
        <v/>
      </c>
      <c r="AD20" s="13"/>
      <c r="AE20" s="14">
        <f t="shared" si="5"/>
        <v>0</v>
      </c>
      <c r="AF20" s="14">
        <f t="shared" si="6"/>
        <v>0</v>
      </c>
      <c r="AG20" s="13"/>
      <c r="AH20" s="14" t="str">
        <f t="shared" si="7"/>
        <v/>
      </c>
      <c r="AI20" s="13"/>
      <c r="AJ20" s="14" t="str">
        <f t="shared" si="8"/>
        <v/>
      </c>
      <c r="AK20" s="13"/>
      <c r="AL20" s="14" t="str">
        <f t="shared" si="9"/>
        <v/>
      </c>
      <c r="AM20" s="13"/>
      <c r="AN20" s="14" t="str">
        <f t="shared" si="10"/>
        <v/>
      </c>
      <c r="AO20" s="13"/>
      <c r="AP20" s="14" t="str">
        <f t="shared" si="11"/>
        <v/>
      </c>
      <c r="AQ20" s="13"/>
      <c r="AR20" s="14">
        <f t="shared" si="12"/>
        <v>0</v>
      </c>
      <c r="AS20" s="13"/>
      <c r="AT20" s="14">
        <f t="shared" si="13"/>
        <v>0</v>
      </c>
      <c r="AU20" s="14">
        <f t="shared" si="14"/>
        <v>0</v>
      </c>
      <c r="AV20" s="13"/>
      <c r="AW20" s="14" t="str">
        <f t="shared" si="15"/>
        <v/>
      </c>
      <c r="AX20" s="13"/>
      <c r="AY20" s="14" t="str">
        <f t="shared" si="16"/>
        <v/>
      </c>
      <c r="AZ20" s="13"/>
      <c r="BA20" s="14" t="str">
        <f t="shared" si="17"/>
        <v/>
      </c>
      <c r="BB20" s="13"/>
      <c r="BC20" s="14">
        <f t="shared" si="18"/>
        <v>0</v>
      </c>
      <c r="BD20" s="14">
        <f t="shared" si="19"/>
        <v>0</v>
      </c>
      <c r="BE20" s="13"/>
      <c r="BF20" s="14" t="str">
        <f t="shared" si="20"/>
        <v/>
      </c>
      <c r="BG20" s="13"/>
      <c r="BH20" s="14" t="str">
        <f t="shared" si="21"/>
        <v/>
      </c>
      <c r="BI20" s="14">
        <f t="shared" si="22"/>
        <v>0</v>
      </c>
      <c r="BJ20" s="14">
        <f t="shared" si="23"/>
        <v>0</v>
      </c>
      <c r="BK20" s="14" t="str">
        <f t="shared" si="24"/>
        <v>LOW RISK</v>
      </c>
      <c r="BL20" s="14" t="str">
        <f t="shared" si="25"/>
        <v/>
      </c>
      <c r="BM20" s="13"/>
      <c r="BN20" s="12"/>
      <c r="BO20" s="13"/>
      <c r="BP20" s="13"/>
      <c r="BQ20" s="13"/>
      <c r="BR20" s="13"/>
      <c r="BS20" s="13"/>
      <c r="BT20" s="13"/>
      <c r="BU20" s="14" t="str">
        <f t="shared" si="26"/>
        <v/>
      </c>
      <c r="BV20" s="13"/>
      <c r="BW20" s="13"/>
      <c r="BX20" s="13"/>
      <c r="BY20" s="13"/>
      <c r="BZ20" s="13"/>
      <c r="CA20" s="13"/>
      <c r="CB20" s="13"/>
      <c r="CC20" s="14" t="str">
        <f t="shared" si="27"/>
        <v/>
      </c>
      <c r="CD20" s="13"/>
      <c r="CE20" s="13"/>
      <c r="CF20" s="12"/>
      <c r="CG20" s="13"/>
      <c r="CH20" s="13"/>
      <c r="CI20" s="13"/>
      <c r="CJ20" s="13"/>
      <c r="CK20" s="13"/>
      <c r="CL20" s="12"/>
      <c r="CM20" s="13"/>
      <c r="CN20" s="13"/>
      <c r="CO20" s="13"/>
      <c r="CP20" s="12"/>
    </row>
    <row r="21" spans="1:94" x14ac:dyDescent="0.2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4" t="str">
        <f t="shared" si="0"/>
        <v>✓ Clear to Score</v>
      </c>
      <c r="U21" s="13"/>
      <c r="V21" s="13"/>
      <c r="W21" s="14" t="str">
        <f t="shared" si="1"/>
        <v/>
      </c>
      <c r="X21" s="13"/>
      <c r="Y21" s="14" t="str">
        <f t="shared" si="2"/>
        <v/>
      </c>
      <c r="Z21" s="13"/>
      <c r="AA21" s="14" t="str">
        <f t="shared" si="3"/>
        <v/>
      </c>
      <c r="AB21" s="13"/>
      <c r="AC21" s="14" t="str">
        <f t="shared" si="4"/>
        <v/>
      </c>
      <c r="AD21" s="13"/>
      <c r="AE21" s="14">
        <f t="shared" si="5"/>
        <v>0</v>
      </c>
      <c r="AF21" s="14">
        <f t="shared" si="6"/>
        <v>0</v>
      </c>
      <c r="AG21" s="13"/>
      <c r="AH21" s="14" t="str">
        <f t="shared" si="7"/>
        <v/>
      </c>
      <c r="AI21" s="13"/>
      <c r="AJ21" s="14" t="str">
        <f t="shared" si="8"/>
        <v/>
      </c>
      <c r="AK21" s="13"/>
      <c r="AL21" s="14" t="str">
        <f t="shared" si="9"/>
        <v/>
      </c>
      <c r="AM21" s="13"/>
      <c r="AN21" s="14" t="str">
        <f t="shared" si="10"/>
        <v/>
      </c>
      <c r="AO21" s="13"/>
      <c r="AP21" s="14" t="str">
        <f t="shared" si="11"/>
        <v/>
      </c>
      <c r="AQ21" s="13"/>
      <c r="AR21" s="14">
        <f t="shared" si="12"/>
        <v>0</v>
      </c>
      <c r="AS21" s="13"/>
      <c r="AT21" s="14">
        <f t="shared" si="13"/>
        <v>0</v>
      </c>
      <c r="AU21" s="14">
        <f t="shared" si="14"/>
        <v>0</v>
      </c>
      <c r="AV21" s="13"/>
      <c r="AW21" s="14" t="str">
        <f t="shared" si="15"/>
        <v/>
      </c>
      <c r="AX21" s="13"/>
      <c r="AY21" s="14" t="str">
        <f t="shared" si="16"/>
        <v/>
      </c>
      <c r="AZ21" s="13"/>
      <c r="BA21" s="14" t="str">
        <f t="shared" si="17"/>
        <v/>
      </c>
      <c r="BB21" s="13"/>
      <c r="BC21" s="14">
        <f t="shared" si="18"/>
        <v>0</v>
      </c>
      <c r="BD21" s="14">
        <f t="shared" si="19"/>
        <v>0</v>
      </c>
      <c r="BE21" s="13"/>
      <c r="BF21" s="14" t="str">
        <f t="shared" si="20"/>
        <v/>
      </c>
      <c r="BG21" s="13"/>
      <c r="BH21" s="14" t="str">
        <f t="shared" si="21"/>
        <v/>
      </c>
      <c r="BI21" s="14">
        <f t="shared" si="22"/>
        <v>0</v>
      </c>
      <c r="BJ21" s="14">
        <f t="shared" si="23"/>
        <v>0</v>
      </c>
      <c r="BK21" s="14" t="str">
        <f t="shared" si="24"/>
        <v>LOW RISK</v>
      </c>
      <c r="BL21" s="14" t="str">
        <f t="shared" si="25"/>
        <v/>
      </c>
      <c r="BM21" s="13"/>
      <c r="BN21" s="12"/>
      <c r="BO21" s="13"/>
      <c r="BP21" s="13"/>
      <c r="BQ21" s="13"/>
      <c r="BR21" s="13"/>
      <c r="BS21" s="13"/>
      <c r="BT21" s="13"/>
      <c r="BU21" s="14" t="str">
        <f t="shared" si="26"/>
        <v/>
      </c>
      <c r="BV21" s="13"/>
      <c r="BW21" s="13"/>
      <c r="BX21" s="13"/>
      <c r="BY21" s="13"/>
      <c r="BZ21" s="13"/>
      <c r="CA21" s="13"/>
      <c r="CB21" s="13"/>
      <c r="CC21" s="14" t="str">
        <f t="shared" si="27"/>
        <v/>
      </c>
      <c r="CD21" s="13"/>
      <c r="CE21" s="13"/>
      <c r="CF21" s="12"/>
      <c r="CG21" s="13"/>
      <c r="CH21" s="13"/>
      <c r="CI21" s="13"/>
      <c r="CJ21" s="13"/>
      <c r="CK21" s="13"/>
      <c r="CL21" s="12"/>
      <c r="CM21" s="13"/>
      <c r="CN21" s="13"/>
      <c r="CO21" s="13"/>
      <c r="CP21" s="12"/>
    </row>
    <row r="22" spans="1:94" x14ac:dyDescent="0.2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4" t="str">
        <f t="shared" si="0"/>
        <v>✓ Clear to Score</v>
      </c>
      <c r="U22" s="13"/>
      <c r="V22" s="13"/>
      <c r="W22" s="14" t="str">
        <f t="shared" si="1"/>
        <v/>
      </c>
      <c r="X22" s="13"/>
      <c r="Y22" s="14" t="str">
        <f t="shared" si="2"/>
        <v/>
      </c>
      <c r="Z22" s="13"/>
      <c r="AA22" s="14" t="str">
        <f t="shared" si="3"/>
        <v/>
      </c>
      <c r="AB22" s="13"/>
      <c r="AC22" s="14" t="str">
        <f t="shared" si="4"/>
        <v/>
      </c>
      <c r="AD22" s="13"/>
      <c r="AE22" s="14">
        <f t="shared" si="5"/>
        <v>0</v>
      </c>
      <c r="AF22" s="14">
        <f t="shared" si="6"/>
        <v>0</v>
      </c>
      <c r="AG22" s="13"/>
      <c r="AH22" s="14" t="str">
        <f t="shared" si="7"/>
        <v/>
      </c>
      <c r="AI22" s="13"/>
      <c r="AJ22" s="14" t="str">
        <f t="shared" si="8"/>
        <v/>
      </c>
      <c r="AK22" s="13"/>
      <c r="AL22" s="14" t="str">
        <f t="shared" si="9"/>
        <v/>
      </c>
      <c r="AM22" s="13"/>
      <c r="AN22" s="14" t="str">
        <f t="shared" si="10"/>
        <v/>
      </c>
      <c r="AO22" s="13"/>
      <c r="AP22" s="14" t="str">
        <f t="shared" si="11"/>
        <v/>
      </c>
      <c r="AQ22" s="13"/>
      <c r="AR22" s="14">
        <f t="shared" si="12"/>
        <v>0</v>
      </c>
      <c r="AS22" s="13"/>
      <c r="AT22" s="14">
        <f t="shared" si="13"/>
        <v>0</v>
      </c>
      <c r="AU22" s="14">
        <f t="shared" si="14"/>
        <v>0</v>
      </c>
      <c r="AV22" s="13"/>
      <c r="AW22" s="14" t="str">
        <f t="shared" si="15"/>
        <v/>
      </c>
      <c r="AX22" s="13"/>
      <c r="AY22" s="14" t="str">
        <f t="shared" si="16"/>
        <v/>
      </c>
      <c r="AZ22" s="13"/>
      <c r="BA22" s="14" t="str">
        <f t="shared" si="17"/>
        <v/>
      </c>
      <c r="BB22" s="13"/>
      <c r="BC22" s="14">
        <f t="shared" si="18"/>
        <v>0</v>
      </c>
      <c r="BD22" s="14">
        <f t="shared" si="19"/>
        <v>0</v>
      </c>
      <c r="BE22" s="13"/>
      <c r="BF22" s="14" t="str">
        <f t="shared" si="20"/>
        <v/>
      </c>
      <c r="BG22" s="13"/>
      <c r="BH22" s="14" t="str">
        <f t="shared" si="21"/>
        <v/>
      </c>
      <c r="BI22" s="14">
        <f t="shared" si="22"/>
        <v>0</v>
      </c>
      <c r="BJ22" s="14">
        <f t="shared" si="23"/>
        <v>0</v>
      </c>
      <c r="BK22" s="14" t="str">
        <f t="shared" si="24"/>
        <v>LOW RISK</v>
      </c>
      <c r="BL22" s="14" t="str">
        <f t="shared" si="25"/>
        <v/>
      </c>
      <c r="BM22" s="13"/>
      <c r="BN22" s="12"/>
      <c r="BO22" s="13"/>
      <c r="BP22" s="13"/>
      <c r="BQ22" s="13"/>
      <c r="BR22" s="13"/>
      <c r="BS22" s="13"/>
      <c r="BT22" s="13"/>
      <c r="BU22" s="14" t="str">
        <f t="shared" si="26"/>
        <v/>
      </c>
      <c r="BV22" s="13"/>
      <c r="BW22" s="13"/>
      <c r="BX22" s="13"/>
      <c r="BY22" s="13"/>
      <c r="BZ22" s="13"/>
      <c r="CA22" s="13"/>
      <c r="CB22" s="13"/>
      <c r="CC22" s="14" t="str">
        <f t="shared" si="27"/>
        <v/>
      </c>
      <c r="CD22" s="13"/>
      <c r="CE22" s="13"/>
      <c r="CF22" s="12"/>
      <c r="CG22" s="13"/>
      <c r="CH22" s="13"/>
      <c r="CI22" s="13"/>
      <c r="CJ22" s="13"/>
      <c r="CK22" s="13"/>
      <c r="CL22" s="12"/>
      <c r="CM22" s="13"/>
      <c r="CN22" s="13"/>
      <c r="CO22" s="13"/>
      <c r="CP22" s="12"/>
    </row>
    <row r="23" spans="1:94" x14ac:dyDescent="0.2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4" t="str">
        <f t="shared" si="0"/>
        <v>✓ Clear to Score</v>
      </c>
      <c r="U23" s="13"/>
      <c r="V23" s="13"/>
      <c r="W23" s="14" t="str">
        <f t="shared" si="1"/>
        <v/>
      </c>
      <c r="X23" s="13"/>
      <c r="Y23" s="14" t="str">
        <f t="shared" si="2"/>
        <v/>
      </c>
      <c r="Z23" s="13"/>
      <c r="AA23" s="14" t="str">
        <f t="shared" si="3"/>
        <v/>
      </c>
      <c r="AB23" s="13"/>
      <c r="AC23" s="14" t="str">
        <f t="shared" si="4"/>
        <v/>
      </c>
      <c r="AD23" s="13"/>
      <c r="AE23" s="14">
        <f t="shared" si="5"/>
        <v>0</v>
      </c>
      <c r="AF23" s="14">
        <f t="shared" si="6"/>
        <v>0</v>
      </c>
      <c r="AG23" s="13"/>
      <c r="AH23" s="14" t="str">
        <f t="shared" si="7"/>
        <v/>
      </c>
      <c r="AI23" s="13"/>
      <c r="AJ23" s="14" t="str">
        <f t="shared" si="8"/>
        <v/>
      </c>
      <c r="AK23" s="13"/>
      <c r="AL23" s="14" t="str">
        <f t="shared" si="9"/>
        <v/>
      </c>
      <c r="AM23" s="13"/>
      <c r="AN23" s="14" t="str">
        <f t="shared" si="10"/>
        <v/>
      </c>
      <c r="AO23" s="13"/>
      <c r="AP23" s="14" t="str">
        <f t="shared" si="11"/>
        <v/>
      </c>
      <c r="AQ23" s="13"/>
      <c r="AR23" s="14">
        <f t="shared" si="12"/>
        <v>0</v>
      </c>
      <c r="AS23" s="13"/>
      <c r="AT23" s="14">
        <f t="shared" si="13"/>
        <v>0</v>
      </c>
      <c r="AU23" s="14">
        <f t="shared" si="14"/>
        <v>0</v>
      </c>
      <c r="AV23" s="13"/>
      <c r="AW23" s="14" t="str">
        <f t="shared" si="15"/>
        <v/>
      </c>
      <c r="AX23" s="13"/>
      <c r="AY23" s="14" t="str">
        <f t="shared" si="16"/>
        <v/>
      </c>
      <c r="AZ23" s="13"/>
      <c r="BA23" s="14" t="str">
        <f t="shared" si="17"/>
        <v/>
      </c>
      <c r="BB23" s="13"/>
      <c r="BC23" s="14">
        <f t="shared" si="18"/>
        <v>0</v>
      </c>
      <c r="BD23" s="14">
        <f t="shared" si="19"/>
        <v>0</v>
      </c>
      <c r="BE23" s="13"/>
      <c r="BF23" s="14" t="str">
        <f t="shared" si="20"/>
        <v/>
      </c>
      <c r="BG23" s="13"/>
      <c r="BH23" s="14" t="str">
        <f t="shared" si="21"/>
        <v/>
      </c>
      <c r="BI23" s="14">
        <f t="shared" si="22"/>
        <v>0</v>
      </c>
      <c r="BJ23" s="14">
        <f t="shared" si="23"/>
        <v>0</v>
      </c>
      <c r="BK23" s="14" t="str">
        <f t="shared" si="24"/>
        <v>LOW RISK</v>
      </c>
      <c r="BL23" s="14" t="str">
        <f t="shared" si="25"/>
        <v/>
      </c>
      <c r="BM23" s="13"/>
      <c r="BN23" s="12"/>
      <c r="BO23" s="13"/>
      <c r="BP23" s="13"/>
      <c r="BQ23" s="13"/>
      <c r="BR23" s="13"/>
      <c r="BS23" s="13"/>
      <c r="BT23" s="13"/>
      <c r="BU23" s="14" t="str">
        <f t="shared" si="26"/>
        <v/>
      </c>
      <c r="BV23" s="13"/>
      <c r="BW23" s="13"/>
      <c r="BX23" s="13"/>
      <c r="BY23" s="13"/>
      <c r="BZ23" s="13"/>
      <c r="CA23" s="13"/>
      <c r="CB23" s="13"/>
      <c r="CC23" s="14" t="str">
        <f t="shared" si="27"/>
        <v/>
      </c>
      <c r="CD23" s="13"/>
      <c r="CE23" s="13"/>
      <c r="CF23" s="12"/>
      <c r="CG23" s="13"/>
      <c r="CH23" s="13"/>
      <c r="CI23" s="13"/>
      <c r="CJ23" s="13"/>
      <c r="CK23" s="13"/>
      <c r="CL23" s="12"/>
      <c r="CM23" s="13"/>
      <c r="CN23" s="13"/>
      <c r="CO23" s="13"/>
      <c r="CP23" s="12"/>
    </row>
    <row r="24" spans="1:94" x14ac:dyDescent="0.2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4" t="str">
        <f t="shared" si="0"/>
        <v>✓ Clear to Score</v>
      </c>
      <c r="U24" s="13"/>
      <c r="V24" s="13"/>
      <c r="W24" s="14" t="str">
        <f t="shared" si="1"/>
        <v/>
      </c>
      <c r="X24" s="13"/>
      <c r="Y24" s="14" t="str">
        <f t="shared" si="2"/>
        <v/>
      </c>
      <c r="Z24" s="13"/>
      <c r="AA24" s="14" t="str">
        <f t="shared" si="3"/>
        <v/>
      </c>
      <c r="AB24" s="13"/>
      <c r="AC24" s="14" t="str">
        <f t="shared" si="4"/>
        <v/>
      </c>
      <c r="AD24" s="13"/>
      <c r="AE24" s="14">
        <f t="shared" si="5"/>
        <v>0</v>
      </c>
      <c r="AF24" s="14">
        <f t="shared" si="6"/>
        <v>0</v>
      </c>
      <c r="AG24" s="13"/>
      <c r="AH24" s="14" t="str">
        <f t="shared" si="7"/>
        <v/>
      </c>
      <c r="AI24" s="13"/>
      <c r="AJ24" s="14" t="str">
        <f t="shared" si="8"/>
        <v/>
      </c>
      <c r="AK24" s="13"/>
      <c r="AL24" s="14" t="str">
        <f t="shared" si="9"/>
        <v/>
      </c>
      <c r="AM24" s="13"/>
      <c r="AN24" s="14" t="str">
        <f t="shared" si="10"/>
        <v/>
      </c>
      <c r="AO24" s="13"/>
      <c r="AP24" s="14" t="str">
        <f t="shared" si="11"/>
        <v/>
      </c>
      <c r="AQ24" s="13"/>
      <c r="AR24" s="14">
        <f t="shared" si="12"/>
        <v>0</v>
      </c>
      <c r="AS24" s="13"/>
      <c r="AT24" s="14">
        <f t="shared" si="13"/>
        <v>0</v>
      </c>
      <c r="AU24" s="14">
        <f t="shared" si="14"/>
        <v>0</v>
      </c>
      <c r="AV24" s="13"/>
      <c r="AW24" s="14" t="str">
        <f t="shared" si="15"/>
        <v/>
      </c>
      <c r="AX24" s="13"/>
      <c r="AY24" s="14" t="str">
        <f t="shared" si="16"/>
        <v/>
      </c>
      <c r="AZ24" s="13"/>
      <c r="BA24" s="14" t="str">
        <f t="shared" si="17"/>
        <v/>
      </c>
      <c r="BB24" s="13"/>
      <c r="BC24" s="14">
        <f t="shared" si="18"/>
        <v>0</v>
      </c>
      <c r="BD24" s="14">
        <f t="shared" si="19"/>
        <v>0</v>
      </c>
      <c r="BE24" s="13"/>
      <c r="BF24" s="14" t="str">
        <f t="shared" si="20"/>
        <v/>
      </c>
      <c r="BG24" s="13"/>
      <c r="BH24" s="14" t="str">
        <f t="shared" si="21"/>
        <v/>
      </c>
      <c r="BI24" s="14">
        <f t="shared" si="22"/>
        <v>0</v>
      </c>
      <c r="BJ24" s="14">
        <f t="shared" si="23"/>
        <v>0</v>
      </c>
      <c r="BK24" s="14" t="str">
        <f t="shared" si="24"/>
        <v>LOW RISK</v>
      </c>
      <c r="BL24" s="14" t="str">
        <f t="shared" si="25"/>
        <v/>
      </c>
      <c r="BM24" s="13"/>
      <c r="BN24" s="12"/>
      <c r="BO24" s="13"/>
      <c r="BP24" s="13"/>
      <c r="BQ24" s="13"/>
      <c r="BR24" s="13"/>
      <c r="BS24" s="13"/>
      <c r="BT24" s="13"/>
      <c r="BU24" s="14" t="str">
        <f t="shared" si="26"/>
        <v/>
      </c>
      <c r="BV24" s="13"/>
      <c r="BW24" s="13"/>
      <c r="BX24" s="13"/>
      <c r="BY24" s="13"/>
      <c r="BZ24" s="13"/>
      <c r="CA24" s="13"/>
      <c r="CB24" s="13"/>
      <c r="CC24" s="14" t="str">
        <f t="shared" si="27"/>
        <v/>
      </c>
      <c r="CD24" s="13"/>
      <c r="CE24" s="13"/>
      <c r="CF24" s="12"/>
      <c r="CG24" s="13"/>
      <c r="CH24" s="13"/>
      <c r="CI24" s="13"/>
      <c r="CJ24" s="13"/>
      <c r="CK24" s="13"/>
      <c r="CL24" s="12"/>
      <c r="CM24" s="13"/>
      <c r="CN24" s="13"/>
      <c r="CO24" s="13"/>
      <c r="CP24" s="12"/>
    </row>
    <row r="25" spans="1:94" x14ac:dyDescent="0.2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 t="str">
        <f t="shared" si="0"/>
        <v>✓ Clear to Score</v>
      </c>
      <c r="U25" s="13"/>
      <c r="V25" s="13"/>
      <c r="W25" s="14" t="str">
        <f t="shared" si="1"/>
        <v/>
      </c>
      <c r="X25" s="13"/>
      <c r="Y25" s="14" t="str">
        <f t="shared" si="2"/>
        <v/>
      </c>
      <c r="Z25" s="13"/>
      <c r="AA25" s="14" t="str">
        <f t="shared" si="3"/>
        <v/>
      </c>
      <c r="AB25" s="13"/>
      <c r="AC25" s="14" t="str">
        <f t="shared" si="4"/>
        <v/>
      </c>
      <c r="AD25" s="13"/>
      <c r="AE25" s="14">
        <f t="shared" si="5"/>
        <v>0</v>
      </c>
      <c r="AF25" s="14">
        <f t="shared" si="6"/>
        <v>0</v>
      </c>
      <c r="AG25" s="13"/>
      <c r="AH25" s="14" t="str">
        <f t="shared" si="7"/>
        <v/>
      </c>
      <c r="AI25" s="13"/>
      <c r="AJ25" s="14" t="str">
        <f t="shared" si="8"/>
        <v/>
      </c>
      <c r="AK25" s="13"/>
      <c r="AL25" s="14" t="str">
        <f t="shared" si="9"/>
        <v/>
      </c>
      <c r="AM25" s="13"/>
      <c r="AN25" s="14" t="str">
        <f t="shared" si="10"/>
        <v/>
      </c>
      <c r="AO25" s="13"/>
      <c r="AP25" s="14" t="str">
        <f t="shared" si="11"/>
        <v/>
      </c>
      <c r="AQ25" s="13"/>
      <c r="AR25" s="14">
        <f t="shared" si="12"/>
        <v>0</v>
      </c>
      <c r="AS25" s="13"/>
      <c r="AT25" s="14">
        <f t="shared" si="13"/>
        <v>0</v>
      </c>
      <c r="AU25" s="14">
        <f t="shared" si="14"/>
        <v>0</v>
      </c>
      <c r="AV25" s="13"/>
      <c r="AW25" s="14" t="str">
        <f t="shared" si="15"/>
        <v/>
      </c>
      <c r="AX25" s="13"/>
      <c r="AY25" s="14" t="str">
        <f t="shared" si="16"/>
        <v/>
      </c>
      <c r="AZ25" s="13"/>
      <c r="BA25" s="14" t="str">
        <f t="shared" si="17"/>
        <v/>
      </c>
      <c r="BB25" s="13"/>
      <c r="BC25" s="14">
        <f t="shared" si="18"/>
        <v>0</v>
      </c>
      <c r="BD25" s="14">
        <f t="shared" si="19"/>
        <v>0</v>
      </c>
      <c r="BE25" s="13"/>
      <c r="BF25" s="14" t="str">
        <f t="shared" si="20"/>
        <v/>
      </c>
      <c r="BG25" s="13"/>
      <c r="BH25" s="14" t="str">
        <f t="shared" si="21"/>
        <v/>
      </c>
      <c r="BI25" s="14">
        <f t="shared" si="22"/>
        <v>0</v>
      </c>
      <c r="BJ25" s="14">
        <f t="shared" si="23"/>
        <v>0</v>
      </c>
      <c r="BK25" s="14" t="str">
        <f t="shared" si="24"/>
        <v>LOW RISK</v>
      </c>
      <c r="BL25" s="14" t="str">
        <f t="shared" si="25"/>
        <v/>
      </c>
      <c r="BM25" s="13"/>
      <c r="BN25" s="12"/>
      <c r="BO25" s="13"/>
      <c r="BP25" s="13"/>
      <c r="BQ25" s="13"/>
      <c r="BR25" s="13"/>
      <c r="BS25" s="13"/>
      <c r="BT25" s="13"/>
      <c r="BU25" s="14" t="str">
        <f t="shared" si="26"/>
        <v/>
      </c>
      <c r="BV25" s="13"/>
      <c r="BW25" s="13"/>
      <c r="BX25" s="13"/>
      <c r="BY25" s="13"/>
      <c r="BZ25" s="13"/>
      <c r="CA25" s="13"/>
      <c r="CB25" s="13"/>
      <c r="CC25" s="14" t="str">
        <f t="shared" si="27"/>
        <v/>
      </c>
      <c r="CD25" s="13"/>
      <c r="CE25" s="13"/>
      <c r="CF25" s="12"/>
      <c r="CG25" s="13"/>
      <c r="CH25" s="13"/>
      <c r="CI25" s="13"/>
      <c r="CJ25" s="13"/>
      <c r="CK25" s="13"/>
      <c r="CL25" s="12"/>
      <c r="CM25" s="13"/>
      <c r="CN25" s="13"/>
      <c r="CO25" s="13"/>
      <c r="CP25" s="12"/>
    </row>
    <row r="26" spans="1:94" x14ac:dyDescent="0.2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4" t="str">
        <f t="shared" si="0"/>
        <v>✓ Clear to Score</v>
      </c>
      <c r="U26" s="13"/>
      <c r="V26" s="13"/>
      <c r="W26" s="14" t="str">
        <f t="shared" si="1"/>
        <v/>
      </c>
      <c r="X26" s="13"/>
      <c r="Y26" s="14" t="str">
        <f t="shared" si="2"/>
        <v/>
      </c>
      <c r="Z26" s="13"/>
      <c r="AA26" s="14" t="str">
        <f t="shared" si="3"/>
        <v/>
      </c>
      <c r="AB26" s="13"/>
      <c r="AC26" s="14" t="str">
        <f t="shared" si="4"/>
        <v/>
      </c>
      <c r="AD26" s="13"/>
      <c r="AE26" s="14">
        <f t="shared" si="5"/>
        <v>0</v>
      </c>
      <c r="AF26" s="14">
        <f t="shared" si="6"/>
        <v>0</v>
      </c>
      <c r="AG26" s="13"/>
      <c r="AH26" s="14" t="str">
        <f t="shared" si="7"/>
        <v/>
      </c>
      <c r="AI26" s="13"/>
      <c r="AJ26" s="14" t="str">
        <f t="shared" si="8"/>
        <v/>
      </c>
      <c r="AK26" s="13"/>
      <c r="AL26" s="14" t="str">
        <f t="shared" si="9"/>
        <v/>
      </c>
      <c r="AM26" s="13"/>
      <c r="AN26" s="14" t="str">
        <f t="shared" si="10"/>
        <v/>
      </c>
      <c r="AO26" s="13"/>
      <c r="AP26" s="14" t="str">
        <f t="shared" si="11"/>
        <v/>
      </c>
      <c r="AQ26" s="13"/>
      <c r="AR26" s="14">
        <f t="shared" si="12"/>
        <v>0</v>
      </c>
      <c r="AS26" s="13"/>
      <c r="AT26" s="14">
        <f t="shared" si="13"/>
        <v>0</v>
      </c>
      <c r="AU26" s="14">
        <f t="shared" si="14"/>
        <v>0</v>
      </c>
      <c r="AV26" s="13"/>
      <c r="AW26" s="14" t="str">
        <f t="shared" si="15"/>
        <v/>
      </c>
      <c r="AX26" s="13"/>
      <c r="AY26" s="14" t="str">
        <f t="shared" si="16"/>
        <v/>
      </c>
      <c r="AZ26" s="13"/>
      <c r="BA26" s="14" t="str">
        <f t="shared" si="17"/>
        <v/>
      </c>
      <c r="BB26" s="13"/>
      <c r="BC26" s="14">
        <f t="shared" si="18"/>
        <v>0</v>
      </c>
      <c r="BD26" s="14">
        <f t="shared" si="19"/>
        <v>0</v>
      </c>
      <c r="BE26" s="13"/>
      <c r="BF26" s="14" t="str">
        <f t="shared" si="20"/>
        <v/>
      </c>
      <c r="BG26" s="13"/>
      <c r="BH26" s="14" t="str">
        <f t="shared" si="21"/>
        <v/>
      </c>
      <c r="BI26" s="14">
        <f t="shared" si="22"/>
        <v>0</v>
      </c>
      <c r="BJ26" s="14">
        <f t="shared" si="23"/>
        <v>0</v>
      </c>
      <c r="BK26" s="14" t="str">
        <f t="shared" si="24"/>
        <v>LOW RISK</v>
      </c>
      <c r="BL26" s="14" t="str">
        <f t="shared" si="25"/>
        <v/>
      </c>
      <c r="BM26" s="13"/>
      <c r="BN26" s="12"/>
      <c r="BO26" s="13"/>
      <c r="BP26" s="13"/>
      <c r="BQ26" s="13"/>
      <c r="BR26" s="13"/>
      <c r="BS26" s="13"/>
      <c r="BT26" s="13"/>
      <c r="BU26" s="14" t="str">
        <f t="shared" si="26"/>
        <v/>
      </c>
      <c r="BV26" s="13"/>
      <c r="BW26" s="13"/>
      <c r="BX26" s="13"/>
      <c r="BY26" s="13"/>
      <c r="BZ26" s="13"/>
      <c r="CA26" s="13"/>
      <c r="CB26" s="13"/>
      <c r="CC26" s="14" t="str">
        <f t="shared" si="27"/>
        <v/>
      </c>
      <c r="CD26" s="13"/>
      <c r="CE26" s="13"/>
      <c r="CF26" s="12"/>
      <c r="CG26" s="13"/>
      <c r="CH26" s="13"/>
      <c r="CI26" s="13"/>
      <c r="CJ26" s="13"/>
      <c r="CK26" s="13"/>
      <c r="CL26" s="12"/>
      <c r="CM26" s="13"/>
      <c r="CN26" s="13"/>
      <c r="CO26" s="13"/>
      <c r="CP26" s="12"/>
    </row>
    <row r="27" spans="1:94" x14ac:dyDescent="0.2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4" t="str">
        <f t="shared" si="0"/>
        <v>✓ Clear to Score</v>
      </c>
      <c r="U27" s="13"/>
      <c r="V27" s="13"/>
      <c r="W27" s="14" t="str">
        <f t="shared" si="1"/>
        <v/>
      </c>
      <c r="X27" s="13"/>
      <c r="Y27" s="14" t="str">
        <f t="shared" si="2"/>
        <v/>
      </c>
      <c r="Z27" s="13"/>
      <c r="AA27" s="14" t="str">
        <f t="shared" si="3"/>
        <v/>
      </c>
      <c r="AB27" s="13"/>
      <c r="AC27" s="14" t="str">
        <f t="shared" si="4"/>
        <v/>
      </c>
      <c r="AD27" s="13"/>
      <c r="AE27" s="14">
        <f t="shared" si="5"/>
        <v>0</v>
      </c>
      <c r="AF27" s="14">
        <f t="shared" si="6"/>
        <v>0</v>
      </c>
      <c r="AG27" s="13"/>
      <c r="AH27" s="14" t="str">
        <f t="shared" si="7"/>
        <v/>
      </c>
      <c r="AI27" s="13"/>
      <c r="AJ27" s="14" t="str">
        <f t="shared" si="8"/>
        <v/>
      </c>
      <c r="AK27" s="13"/>
      <c r="AL27" s="14" t="str">
        <f t="shared" si="9"/>
        <v/>
      </c>
      <c r="AM27" s="13"/>
      <c r="AN27" s="14" t="str">
        <f t="shared" si="10"/>
        <v/>
      </c>
      <c r="AO27" s="13"/>
      <c r="AP27" s="14" t="str">
        <f t="shared" si="11"/>
        <v/>
      </c>
      <c r="AQ27" s="13"/>
      <c r="AR27" s="14">
        <f t="shared" si="12"/>
        <v>0</v>
      </c>
      <c r="AS27" s="13"/>
      <c r="AT27" s="14">
        <f t="shared" si="13"/>
        <v>0</v>
      </c>
      <c r="AU27" s="14">
        <f t="shared" si="14"/>
        <v>0</v>
      </c>
      <c r="AV27" s="13"/>
      <c r="AW27" s="14" t="str">
        <f t="shared" si="15"/>
        <v/>
      </c>
      <c r="AX27" s="13"/>
      <c r="AY27" s="14" t="str">
        <f t="shared" si="16"/>
        <v/>
      </c>
      <c r="AZ27" s="13"/>
      <c r="BA27" s="14" t="str">
        <f t="shared" si="17"/>
        <v/>
      </c>
      <c r="BB27" s="13"/>
      <c r="BC27" s="14">
        <f t="shared" si="18"/>
        <v>0</v>
      </c>
      <c r="BD27" s="14">
        <f t="shared" si="19"/>
        <v>0</v>
      </c>
      <c r="BE27" s="13"/>
      <c r="BF27" s="14" t="str">
        <f t="shared" si="20"/>
        <v/>
      </c>
      <c r="BG27" s="13"/>
      <c r="BH27" s="14" t="str">
        <f t="shared" si="21"/>
        <v/>
      </c>
      <c r="BI27" s="14">
        <f t="shared" si="22"/>
        <v>0</v>
      </c>
      <c r="BJ27" s="14">
        <f t="shared" si="23"/>
        <v>0</v>
      </c>
      <c r="BK27" s="14" t="str">
        <f t="shared" si="24"/>
        <v>LOW RISK</v>
      </c>
      <c r="BL27" s="14" t="str">
        <f t="shared" si="25"/>
        <v/>
      </c>
      <c r="BM27" s="13"/>
      <c r="BN27" s="12"/>
      <c r="BO27" s="13"/>
      <c r="BP27" s="13"/>
      <c r="BQ27" s="13"/>
      <c r="BR27" s="13"/>
      <c r="BS27" s="13"/>
      <c r="BT27" s="13"/>
      <c r="BU27" s="14" t="str">
        <f t="shared" si="26"/>
        <v/>
      </c>
      <c r="BV27" s="13"/>
      <c r="BW27" s="13"/>
      <c r="BX27" s="13"/>
      <c r="BY27" s="13"/>
      <c r="BZ27" s="13"/>
      <c r="CA27" s="13"/>
      <c r="CB27" s="13"/>
      <c r="CC27" s="14" t="str">
        <f t="shared" si="27"/>
        <v/>
      </c>
      <c r="CD27" s="13"/>
      <c r="CE27" s="13"/>
      <c r="CF27" s="12"/>
      <c r="CG27" s="13"/>
      <c r="CH27" s="13"/>
      <c r="CI27" s="13"/>
      <c r="CJ27" s="13"/>
      <c r="CK27" s="13"/>
      <c r="CL27" s="12"/>
      <c r="CM27" s="13"/>
      <c r="CN27" s="13"/>
      <c r="CO27" s="13"/>
      <c r="CP27" s="12"/>
    </row>
    <row r="28" spans="1:94" x14ac:dyDescent="0.2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4" t="str">
        <f t="shared" si="0"/>
        <v>✓ Clear to Score</v>
      </c>
      <c r="U28" s="13"/>
      <c r="V28" s="13"/>
      <c r="W28" s="14" t="str">
        <f t="shared" si="1"/>
        <v/>
      </c>
      <c r="X28" s="13"/>
      <c r="Y28" s="14" t="str">
        <f t="shared" si="2"/>
        <v/>
      </c>
      <c r="Z28" s="13"/>
      <c r="AA28" s="14" t="str">
        <f t="shared" si="3"/>
        <v/>
      </c>
      <c r="AB28" s="13"/>
      <c r="AC28" s="14" t="str">
        <f t="shared" si="4"/>
        <v/>
      </c>
      <c r="AD28" s="13"/>
      <c r="AE28" s="14">
        <f t="shared" si="5"/>
        <v>0</v>
      </c>
      <c r="AF28" s="14">
        <f t="shared" si="6"/>
        <v>0</v>
      </c>
      <c r="AG28" s="13"/>
      <c r="AH28" s="14" t="str">
        <f t="shared" si="7"/>
        <v/>
      </c>
      <c r="AI28" s="13"/>
      <c r="AJ28" s="14" t="str">
        <f t="shared" si="8"/>
        <v/>
      </c>
      <c r="AK28" s="13"/>
      <c r="AL28" s="14" t="str">
        <f t="shared" si="9"/>
        <v/>
      </c>
      <c r="AM28" s="13"/>
      <c r="AN28" s="14" t="str">
        <f t="shared" si="10"/>
        <v/>
      </c>
      <c r="AO28" s="13"/>
      <c r="AP28" s="14" t="str">
        <f t="shared" si="11"/>
        <v/>
      </c>
      <c r="AQ28" s="13"/>
      <c r="AR28" s="14">
        <f t="shared" si="12"/>
        <v>0</v>
      </c>
      <c r="AS28" s="13"/>
      <c r="AT28" s="14">
        <f t="shared" si="13"/>
        <v>0</v>
      </c>
      <c r="AU28" s="14">
        <f t="shared" si="14"/>
        <v>0</v>
      </c>
      <c r="AV28" s="13"/>
      <c r="AW28" s="14" t="str">
        <f t="shared" si="15"/>
        <v/>
      </c>
      <c r="AX28" s="13"/>
      <c r="AY28" s="14" t="str">
        <f t="shared" si="16"/>
        <v/>
      </c>
      <c r="AZ28" s="13"/>
      <c r="BA28" s="14" t="str">
        <f t="shared" si="17"/>
        <v/>
      </c>
      <c r="BB28" s="13"/>
      <c r="BC28" s="14">
        <f t="shared" si="18"/>
        <v>0</v>
      </c>
      <c r="BD28" s="14">
        <f t="shared" si="19"/>
        <v>0</v>
      </c>
      <c r="BE28" s="13"/>
      <c r="BF28" s="14" t="str">
        <f t="shared" si="20"/>
        <v/>
      </c>
      <c r="BG28" s="13"/>
      <c r="BH28" s="14" t="str">
        <f t="shared" si="21"/>
        <v/>
      </c>
      <c r="BI28" s="14">
        <f t="shared" si="22"/>
        <v>0</v>
      </c>
      <c r="BJ28" s="14">
        <f t="shared" si="23"/>
        <v>0</v>
      </c>
      <c r="BK28" s="14" t="str">
        <f t="shared" si="24"/>
        <v>LOW RISK</v>
      </c>
      <c r="BL28" s="14" t="str">
        <f t="shared" si="25"/>
        <v/>
      </c>
      <c r="BM28" s="13"/>
      <c r="BN28" s="12"/>
      <c r="BO28" s="13"/>
      <c r="BP28" s="13"/>
      <c r="BQ28" s="13"/>
      <c r="BR28" s="13"/>
      <c r="BS28" s="13"/>
      <c r="BT28" s="13"/>
      <c r="BU28" s="14" t="str">
        <f t="shared" si="26"/>
        <v/>
      </c>
      <c r="BV28" s="13"/>
      <c r="BW28" s="13"/>
      <c r="BX28" s="13"/>
      <c r="BY28" s="13"/>
      <c r="BZ28" s="13"/>
      <c r="CA28" s="13"/>
      <c r="CB28" s="13"/>
      <c r="CC28" s="14" t="str">
        <f t="shared" si="27"/>
        <v/>
      </c>
      <c r="CD28" s="13"/>
      <c r="CE28" s="13"/>
      <c r="CF28" s="12"/>
      <c r="CG28" s="13"/>
      <c r="CH28" s="13"/>
      <c r="CI28" s="13"/>
      <c r="CJ28" s="13"/>
      <c r="CK28" s="13"/>
      <c r="CL28" s="12"/>
      <c r="CM28" s="13"/>
      <c r="CN28" s="13"/>
      <c r="CO28" s="13"/>
      <c r="CP28" s="12"/>
    </row>
    <row r="29" spans="1:94" x14ac:dyDescent="0.2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4" t="str">
        <f t="shared" si="0"/>
        <v>✓ Clear to Score</v>
      </c>
      <c r="U29" s="13"/>
      <c r="V29" s="13"/>
      <c r="W29" s="14" t="str">
        <f t="shared" si="1"/>
        <v/>
      </c>
      <c r="X29" s="13"/>
      <c r="Y29" s="14" t="str">
        <f t="shared" si="2"/>
        <v/>
      </c>
      <c r="Z29" s="13"/>
      <c r="AA29" s="14" t="str">
        <f t="shared" si="3"/>
        <v/>
      </c>
      <c r="AB29" s="13"/>
      <c r="AC29" s="14" t="str">
        <f t="shared" si="4"/>
        <v/>
      </c>
      <c r="AD29" s="13"/>
      <c r="AE29" s="14">
        <f t="shared" si="5"/>
        <v>0</v>
      </c>
      <c r="AF29" s="14">
        <f t="shared" si="6"/>
        <v>0</v>
      </c>
      <c r="AG29" s="13"/>
      <c r="AH29" s="14" t="str">
        <f t="shared" si="7"/>
        <v/>
      </c>
      <c r="AI29" s="13"/>
      <c r="AJ29" s="14" t="str">
        <f t="shared" si="8"/>
        <v/>
      </c>
      <c r="AK29" s="13"/>
      <c r="AL29" s="14" t="str">
        <f t="shared" si="9"/>
        <v/>
      </c>
      <c r="AM29" s="13"/>
      <c r="AN29" s="14" t="str">
        <f t="shared" si="10"/>
        <v/>
      </c>
      <c r="AO29" s="13"/>
      <c r="AP29" s="14" t="str">
        <f t="shared" si="11"/>
        <v/>
      </c>
      <c r="AQ29" s="13"/>
      <c r="AR29" s="14">
        <f t="shared" si="12"/>
        <v>0</v>
      </c>
      <c r="AS29" s="13"/>
      <c r="AT29" s="14">
        <f t="shared" si="13"/>
        <v>0</v>
      </c>
      <c r="AU29" s="14">
        <f t="shared" si="14"/>
        <v>0</v>
      </c>
      <c r="AV29" s="13"/>
      <c r="AW29" s="14" t="str">
        <f t="shared" si="15"/>
        <v/>
      </c>
      <c r="AX29" s="13"/>
      <c r="AY29" s="14" t="str">
        <f t="shared" si="16"/>
        <v/>
      </c>
      <c r="AZ29" s="13"/>
      <c r="BA29" s="14" t="str">
        <f t="shared" si="17"/>
        <v/>
      </c>
      <c r="BB29" s="13"/>
      <c r="BC29" s="14">
        <f t="shared" si="18"/>
        <v>0</v>
      </c>
      <c r="BD29" s="14">
        <f t="shared" si="19"/>
        <v>0</v>
      </c>
      <c r="BE29" s="13"/>
      <c r="BF29" s="14" t="str">
        <f t="shared" si="20"/>
        <v/>
      </c>
      <c r="BG29" s="13"/>
      <c r="BH29" s="14" t="str">
        <f t="shared" si="21"/>
        <v/>
      </c>
      <c r="BI29" s="14">
        <f t="shared" si="22"/>
        <v>0</v>
      </c>
      <c r="BJ29" s="14">
        <f t="shared" si="23"/>
        <v>0</v>
      </c>
      <c r="BK29" s="14" t="str">
        <f t="shared" si="24"/>
        <v>LOW RISK</v>
      </c>
      <c r="BL29" s="14" t="str">
        <f t="shared" si="25"/>
        <v/>
      </c>
      <c r="BM29" s="13"/>
      <c r="BN29" s="12"/>
      <c r="BO29" s="13"/>
      <c r="BP29" s="13"/>
      <c r="BQ29" s="13"/>
      <c r="BR29" s="13"/>
      <c r="BS29" s="13"/>
      <c r="BT29" s="13"/>
      <c r="BU29" s="14" t="str">
        <f t="shared" si="26"/>
        <v/>
      </c>
      <c r="BV29" s="13"/>
      <c r="BW29" s="13"/>
      <c r="BX29" s="13"/>
      <c r="BY29" s="13"/>
      <c r="BZ29" s="13"/>
      <c r="CA29" s="13"/>
      <c r="CB29" s="13"/>
      <c r="CC29" s="14" t="str">
        <f t="shared" si="27"/>
        <v/>
      </c>
      <c r="CD29" s="13"/>
      <c r="CE29" s="13"/>
      <c r="CF29" s="12"/>
      <c r="CG29" s="13"/>
      <c r="CH29" s="13"/>
      <c r="CI29" s="13"/>
      <c r="CJ29" s="13"/>
      <c r="CK29" s="13"/>
      <c r="CL29" s="12"/>
      <c r="CM29" s="13"/>
      <c r="CN29" s="13"/>
      <c r="CO29" s="13"/>
      <c r="CP29" s="12"/>
    </row>
    <row r="30" spans="1:94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4" t="str">
        <f t="shared" si="0"/>
        <v>✓ Clear to Score</v>
      </c>
      <c r="U30" s="13"/>
      <c r="V30" s="13"/>
      <c r="W30" s="14" t="str">
        <f t="shared" si="1"/>
        <v/>
      </c>
      <c r="X30" s="13"/>
      <c r="Y30" s="14" t="str">
        <f t="shared" si="2"/>
        <v/>
      </c>
      <c r="Z30" s="13"/>
      <c r="AA30" s="14" t="str">
        <f t="shared" si="3"/>
        <v/>
      </c>
      <c r="AB30" s="13"/>
      <c r="AC30" s="14" t="str">
        <f t="shared" si="4"/>
        <v/>
      </c>
      <c r="AD30" s="13"/>
      <c r="AE30" s="14">
        <f t="shared" si="5"/>
        <v>0</v>
      </c>
      <c r="AF30" s="14">
        <f t="shared" si="6"/>
        <v>0</v>
      </c>
      <c r="AG30" s="13"/>
      <c r="AH30" s="14" t="str">
        <f t="shared" si="7"/>
        <v/>
      </c>
      <c r="AI30" s="13"/>
      <c r="AJ30" s="14" t="str">
        <f t="shared" si="8"/>
        <v/>
      </c>
      <c r="AK30" s="13"/>
      <c r="AL30" s="14" t="str">
        <f t="shared" si="9"/>
        <v/>
      </c>
      <c r="AM30" s="13"/>
      <c r="AN30" s="14" t="str">
        <f t="shared" si="10"/>
        <v/>
      </c>
      <c r="AO30" s="13"/>
      <c r="AP30" s="14" t="str">
        <f t="shared" si="11"/>
        <v/>
      </c>
      <c r="AQ30" s="13"/>
      <c r="AR30" s="14">
        <f t="shared" si="12"/>
        <v>0</v>
      </c>
      <c r="AS30" s="13"/>
      <c r="AT30" s="14">
        <f t="shared" si="13"/>
        <v>0</v>
      </c>
      <c r="AU30" s="14">
        <f t="shared" si="14"/>
        <v>0</v>
      </c>
      <c r="AV30" s="13"/>
      <c r="AW30" s="14" t="str">
        <f t="shared" si="15"/>
        <v/>
      </c>
      <c r="AX30" s="13"/>
      <c r="AY30" s="14" t="str">
        <f t="shared" si="16"/>
        <v/>
      </c>
      <c r="AZ30" s="13"/>
      <c r="BA30" s="14" t="str">
        <f t="shared" si="17"/>
        <v/>
      </c>
      <c r="BB30" s="13"/>
      <c r="BC30" s="14">
        <f t="shared" si="18"/>
        <v>0</v>
      </c>
      <c r="BD30" s="14">
        <f t="shared" si="19"/>
        <v>0</v>
      </c>
      <c r="BE30" s="13"/>
      <c r="BF30" s="14" t="str">
        <f t="shared" si="20"/>
        <v/>
      </c>
      <c r="BG30" s="13"/>
      <c r="BH30" s="14" t="str">
        <f t="shared" si="21"/>
        <v/>
      </c>
      <c r="BI30" s="14">
        <f t="shared" si="22"/>
        <v>0</v>
      </c>
      <c r="BJ30" s="14">
        <f t="shared" si="23"/>
        <v>0</v>
      </c>
      <c r="BK30" s="14" t="str">
        <f t="shared" si="24"/>
        <v>LOW RISK</v>
      </c>
      <c r="BL30" s="14" t="str">
        <f t="shared" si="25"/>
        <v/>
      </c>
      <c r="BM30" s="13"/>
      <c r="BN30" s="12"/>
      <c r="BO30" s="13"/>
      <c r="BP30" s="13"/>
      <c r="BQ30" s="13"/>
      <c r="BR30" s="13"/>
      <c r="BS30" s="13"/>
      <c r="BT30" s="13"/>
      <c r="BU30" s="14" t="str">
        <f t="shared" si="26"/>
        <v/>
      </c>
      <c r="BV30" s="13"/>
      <c r="BW30" s="13"/>
      <c r="BX30" s="13"/>
      <c r="BY30" s="13"/>
      <c r="BZ30" s="13"/>
      <c r="CA30" s="13"/>
      <c r="CB30" s="13"/>
      <c r="CC30" s="14" t="str">
        <f t="shared" si="27"/>
        <v/>
      </c>
      <c r="CD30" s="13"/>
      <c r="CE30" s="13"/>
      <c r="CF30" s="12"/>
      <c r="CG30" s="13"/>
      <c r="CH30" s="13"/>
      <c r="CI30" s="13"/>
      <c r="CJ30" s="13"/>
      <c r="CK30" s="13"/>
      <c r="CL30" s="12"/>
      <c r="CM30" s="13"/>
      <c r="CN30" s="13"/>
      <c r="CO30" s="13"/>
      <c r="CP30" s="12"/>
    </row>
    <row r="31" spans="1:94" x14ac:dyDescent="0.2">
      <c r="A31" s="12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4" t="str">
        <f t="shared" si="0"/>
        <v>✓ Clear to Score</v>
      </c>
      <c r="U31" s="13"/>
      <c r="V31" s="13"/>
      <c r="W31" s="14" t="str">
        <f t="shared" si="1"/>
        <v/>
      </c>
      <c r="X31" s="13"/>
      <c r="Y31" s="14" t="str">
        <f t="shared" si="2"/>
        <v/>
      </c>
      <c r="Z31" s="13"/>
      <c r="AA31" s="14" t="str">
        <f t="shared" si="3"/>
        <v/>
      </c>
      <c r="AB31" s="13"/>
      <c r="AC31" s="14" t="str">
        <f t="shared" si="4"/>
        <v/>
      </c>
      <c r="AD31" s="13"/>
      <c r="AE31" s="14">
        <f t="shared" si="5"/>
        <v>0</v>
      </c>
      <c r="AF31" s="14">
        <f t="shared" si="6"/>
        <v>0</v>
      </c>
      <c r="AG31" s="13"/>
      <c r="AH31" s="14" t="str">
        <f t="shared" si="7"/>
        <v/>
      </c>
      <c r="AI31" s="13"/>
      <c r="AJ31" s="14" t="str">
        <f t="shared" si="8"/>
        <v/>
      </c>
      <c r="AK31" s="13"/>
      <c r="AL31" s="14" t="str">
        <f t="shared" si="9"/>
        <v/>
      </c>
      <c r="AM31" s="13"/>
      <c r="AN31" s="14" t="str">
        <f t="shared" si="10"/>
        <v/>
      </c>
      <c r="AO31" s="13"/>
      <c r="AP31" s="14" t="str">
        <f t="shared" si="11"/>
        <v/>
      </c>
      <c r="AQ31" s="13"/>
      <c r="AR31" s="14">
        <f t="shared" si="12"/>
        <v>0</v>
      </c>
      <c r="AS31" s="13"/>
      <c r="AT31" s="14">
        <f t="shared" si="13"/>
        <v>0</v>
      </c>
      <c r="AU31" s="14">
        <f t="shared" si="14"/>
        <v>0</v>
      </c>
      <c r="AV31" s="13"/>
      <c r="AW31" s="14" t="str">
        <f t="shared" si="15"/>
        <v/>
      </c>
      <c r="AX31" s="13"/>
      <c r="AY31" s="14" t="str">
        <f t="shared" si="16"/>
        <v/>
      </c>
      <c r="AZ31" s="13"/>
      <c r="BA31" s="14" t="str">
        <f t="shared" si="17"/>
        <v/>
      </c>
      <c r="BB31" s="13"/>
      <c r="BC31" s="14">
        <f t="shared" si="18"/>
        <v>0</v>
      </c>
      <c r="BD31" s="14">
        <f t="shared" si="19"/>
        <v>0</v>
      </c>
      <c r="BE31" s="13"/>
      <c r="BF31" s="14" t="str">
        <f t="shared" si="20"/>
        <v/>
      </c>
      <c r="BG31" s="13"/>
      <c r="BH31" s="14" t="str">
        <f t="shared" si="21"/>
        <v/>
      </c>
      <c r="BI31" s="14">
        <f t="shared" si="22"/>
        <v>0</v>
      </c>
      <c r="BJ31" s="14">
        <f t="shared" si="23"/>
        <v>0</v>
      </c>
      <c r="BK31" s="14" t="str">
        <f t="shared" si="24"/>
        <v>LOW RISK</v>
      </c>
      <c r="BL31" s="14" t="str">
        <f t="shared" si="25"/>
        <v/>
      </c>
      <c r="BM31" s="13"/>
      <c r="BN31" s="12"/>
      <c r="BO31" s="13"/>
      <c r="BP31" s="13"/>
      <c r="BQ31" s="13"/>
      <c r="BR31" s="13"/>
      <c r="BS31" s="13"/>
      <c r="BT31" s="13"/>
      <c r="BU31" s="14" t="str">
        <f t="shared" si="26"/>
        <v/>
      </c>
      <c r="BV31" s="13"/>
      <c r="BW31" s="13"/>
      <c r="BX31" s="13"/>
      <c r="BY31" s="13"/>
      <c r="BZ31" s="13"/>
      <c r="CA31" s="13"/>
      <c r="CB31" s="13"/>
      <c r="CC31" s="14" t="str">
        <f t="shared" si="27"/>
        <v/>
      </c>
      <c r="CD31" s="13"/>
      <c r="CE31" s="13"/>
      <c r="CF31" s="12"/>
      <c r="CG31" s="13"/>
      <c r="CH31" s="13"/>
      <c r="CI31" s="13"/>
      <c r="CJ31" s="13"/>
      <c r="CK31" s="13"/>
      <c r="CL31" s="12"/>
      <c r="CM31" s="13"/>
      <c r="CN31" s="13"/>
      <c r="CO31" s="13"/>
      <c r="CP31" s="12"/>
    </row>
    <row r="32" spans="1:94" x14ac:dyDescent="0.2">
      <c r="A32" s="12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4" t="str">
        <f t="shared" si="0"/>
        <v>✓ Clear to Score</v>
      </c>
      <c r="U32" s="13"/>
      <c r="V32" s="13"/>
      <c r="W32" s="14" t="str">
        <f t="shared" si="1"/>
        <v/>
      </c>
      <c r="X32" s="13"/>
      <c r="Y32" s="14" t="str">
        <f t="shared" si="2"/>
        <v/>
      </c>
      <c r="Z32" s="13"/>
      <c r="AA32" s="14" t="str">
        <f t="shared" si="3"/>
        <v/>
      </c>
      <c r="AB32" s="13"/>
      <c r="AC32" s="14" t="str">
        <f t="shared" si="4"/>
        <v/>
      </c>
      <c r="AD32" s="13"/>
      <c r="AE32" s="14">
        <f t="shared" si="5"/>
        <v>0</v>
      </c>
      <c r="AF32" s="14">
        <f t="shared" si="6"/>
        <v>0</v>
      </c>
      <c r="AG32" s="13"/>
      <c r="AH32" s="14" t="str">
        <f t="shared" si="7"/>
        <v/>
      </c>
      <c r="AI32" s="13"/>
      <c r="AJ32" s="14" t="str">
        <f t="shared" si="8"/>
        <v/>
      </c>
      <c r="AK32" s="13"/>
      <c r="AL32" s="14" t="str">
        <f t="shared" si="9"/>
        <v/>
      </c>
      <c r="AM32" s="13"/>
      <c r="AN32" s="14" t="str">
        <f t="shared" si="10"/>
        <v/>
      </c>
      <c r="AO32" s="13"/>
      <c r="AP32" s="14" t="str">
        <f t="shared" si="11"/>
        <v/>
      </c>
      <c r="AQ32" s="13"/>
      <c r="AR32" s="14">
        <f t="shared" si="12"/>
        <v>0</v>
      </c>
      <c r="AS32" s="13"/>
      <c r="AT32" s="14">
        <f t="shared" si="13"/>
        <v>0</v>
      </c>
      <c r="AU32" s="14">
        <f t="shared" si="14"/>
        <v>0</v>
      </c>
      <c r="AV32" s="13"/>
      <c r="AW32" s="14" t="str">
        <f t="shared" si="15"/>
        <v/>
      </c>
      <c r="AX32" s="13"/>
      <c r="AY32" s="14" t="str">
        <f t="shared" si="16"/>
        <v/>
      </c>
      <c r="AZ32" s="13"/>
      <c r="BA32" s="14" t="str">
        <f t="shared" si="17"/>
        <v/>
      </c>
      <c r="BB32" s="13"/>
      <c r="BC32" s="14">
        <f t="shared" si="18"/>
        <v>0</v>
      </c>
      <c r="BD32" s="14">
        <f t="shared" si="19"/>
        <v>0</v>
      </c>
      <c r="BE32" s="13"/>
      <c r="BF32" s="14" t="str">
        <f t="shared" si="20"/>
        <v/>
      </c>
      <c r="BG32" s="13"/>
      <c r="BH32" s="14" t="str">
        <f t="shared" si="21"/>
        <v/>
      </c>
      <c r="BI32" s="14">
        <f t="shared" si="22"/>
        <v>0</v>
      </c>
      <c r="BJ32" s="14">
        <f t="shared" si="23"/>
        <v>0</v>
      </c>
      <c r="BK32" s="14" t="str">
        <f t="shared" si="24"/>
        <v>LOW RISK</v>
      </c>
      <c r="BL32" s="14" t="str">
        <f t="shared" si="25"/>
        <v/>
      </c>
      <c r="BM32" s="13"/>
      <c r="BN32" s="12"/>
      <c r="BO32" s="13"/>
      <c r="BP32" s="13"/>
      <c r="BQ32" s="13"/>
      <c r="BR32" s="13"/>
      <c r="BS32" s="13"/>
      <c r="BT32" s="13"/>
      <c r="BU32" s="14" t="str">
        <f t="shared" si="26"/>
        <v/>
      </c>
      <c r="BV32" s="13"/>
      <c r="BW32" s="13"/>
      <c r="BX32" s="13"/>
      <c r="BY32" s="13"/>
      <c r="BZ32" s="13"/>
      <c r="CA32" s="13"/>
      <c r="CB32" s="13"/>
      <c r="CC32" s="14" t="str">
        <f t="shared" si="27"/>
        <v/>
      </c>
      <c r="CD32" s="13"/>
      <c r="CE32" s="13"/>
      <c r="CF32" s="12"/>
      <c r="CG32" s="13"/>
      <c r="CH32" s="13"/>
      <c r="CI32" s="13"/>
      <c r="CJ32" s="13"/>
      <c r="CK32" s="13"/>
      <c r="CL32" s="12"/>
      <c r="CM32" s="13"/>
      <c r="CN32" s="13"/>
      <c r="CO32" s="13"/>
      <c r="CP32" s="12"/>
    </row>
    <row r="33" spans="1:94" x14ac:dyDescent="0.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4" t="str">
        <f t="shared" si="0"/>
        <v>✓ Clear to Score</v>
      </c>
      <c r="U33" s="13"/>
      <c r="V33" s="13"/>
      <c r="W33" s="14" t="str">
        <f t="shared" si="1"/>
        <v/>
      </c>
      <c r="X33" s="13"/>
      <c r="Y33" s="14" t="str">
        <f t="shared" si="2"/>
        <v/>
      </c>
      <c r="Z33" s="13"/>
      <c r="AA33" s="14" t="str">
        <f t="shared" si="3"/>
        <v/>
      </c>
      <c r="AB33" s="13"/>
      <c r="AC33" s="14" t="str">
        <f t="shared" si="4"/>
        <v/>
      </c>
      <c r="AD33" s="13"/>
      <c r="AE33" s="14">
        <f t="shared" si="5"/>
        <v>0</v>
      </c>
      <c r="AF33" s="14">
        <f t="shared" si="6"/>
        <v>0</v>
      </c>
      <c r="AG33" s="13"/>
      <c r="AH33" s="14" t="str">
        <f t="shared" si="7"/>
        <v/>
      </c>
      <c r="AI33" s="13"/>
      <c r="AJ33" s="14" t="str">
        <f t="shared" si="8"/>
        <v/>
      </c>
      <c r="AK33" s="13"/>
      <c r="AL33" s="14" t="str">
        <f t="shared" si="9"/>
        <v/>
      </c>
      <c r="AM33" s="13"/>
      <c r="AN33" s="14" t="str">
        <f t="shared" si="10"/>
        <v/>
      </c>
      <c r="AO33" s="13"/>
      <c r="AP33" s="14" t="str">
        <f t="shared" si="11"/>
        <v/>
      </c>
      <c r="AQ33" s="13"/>
      <c r="AR33" s="14">
        <f t="shared" si="12"/>
        <v>0</v>
      </c>
      <c r="AS33" s="13"/>
      <c r="AT33" s="14">
        <f t="shared" si="13"/>
        <v>0</v>
      </c>
      <c r="AU33" s="14">
        <f t="shared" si="14"/>
        <v>0</v>
      </c>
      <c r="AV33" s="13"/>
      <c r="AW33" s="14" t="str">
        <f t="shared" si="15"/>
        <v/>
      </c>
      <c r="AX33" s="13"/>
      <c r="AY33" s="14" t="str">
        <f t="shared" si="16"/>
        <v/>
      </c>
      <c r="AZ33" s="13"/>
      <c r="BA33" s="14" t="str">
        <f t="shared" si="17"/>
        <v/>
      </c>
      <c r="BB33" s="13"/>
      <c r="BC33" s="14">
        <f t="shared" si="18"/>
        <v>0</v>
      </c>
      <c r="BD33" s="14">
        <f t="shared" si="19"/>
        <v>0</v>
      </c>
      <c r="BE33" s="13"/>
      <c r="BF33" s="14" t="str">
        <f t="shared" si="20"/>
        <v/>
      </c>
      <c r="BG33" s="13"/>
      <c r="BH33" s="14" t="str">
        <f t="shared" si="21"/>
        <v/>
      </c>
      <c r="BI33" s="14">
        <f t="shared" si="22"/>
        <v>0</v>
      </c>
      <c r="BJ33" s="14">
        <f t="shared" si="23"/>
        <v>0</v>
      </c>
      <c r="BK33" s="14" t="str">
        <f t="shared" si="24"/>
        <v>LOW RISK</v>
      </c>
      <c r="BL33" s="14" t="str">
        <f t="shared" si="25"/>
        <v/>
      </c>
      <c r="BM33" s="13"/>
      <c r="BN33" s="12"/>
      <c r="BO33" s="13"/>
      <c r="BP33" s="13"/>
      <c r="BQ33" s="13"/>
      <c r="BR33" s="13"/>
      <c r="BS33" s="13"/>
      <c r="BT33" s="13"/>
      <c r="BU33" s="14" t="str">
        <f t="shared" si="26"/>
        <v/>
      </c>
      <c r="BV33" s="13"/>
      <c r="BW33" s="13"/>
      <c r="BX33" s="13"/>
      <c r="BY33" s="13"/>
      <c r="BZ33" s="13"/>
      <c r="CA33" s="13"/>
      <c r="CB33" s="13"/>
      <c r="CC33" s="14" t="str">
        <f t="shared" si="27"/>
        <v/>
      </c>
      <c r="CD33" s="13"/>
      <c r="CE33" s="13"/>
      <c r="CF33" s="12"/>
      <c r="CG33" s="13"/>
      <c r="CH33" s="13"/>
      <c r="CI33" s="13"/>
      <c r="CJ33" s="13"/>
      <c r="CK33" s="13"/>
      <c r="CL33" s="12"/>
      <c r="CM33" s="13"/>
      <c r="CN33" s="13"/>
      <c r="CO33" s="13"/>
      <c r="CP33" s="12"/>
    </row>
    <row r="34" spans="1:94" x14ac:dyDescent="0.2">
      <c r="A34" s="12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4" t="str">
        <f t="shared" si="0"/>
        <v>✓ Clear to Score</v>
      </c>
      <c r="U34" s="13"/>
      <c r="V34" s="13"/>
      <c r="W34" s="14" t="str">
        <f t="shared" si="1"/>
        <v/>
      </c>
      <c r="X34" s="13"/>
      <c r="Y34" s="14" t="str">
        <f t="shared" si="2"/>
        <v/>
      </c>
      <c r="Z34" s="13"/>
      <c r="AA34" s="14" t="str">
        <f t="shared" si="3"/>
        <v/>
      </c>
      <c r="AB34" s="13"/>
      <c r="AC34" s="14" t="str">
        <f t="shared" si="4"/>
        <v/>
      </c>
      <c r="AD34" s="13"/>
      <c r="AE34" s="14">
        <f t="shared" si="5"/>
        <v>0</v>
      </c>
      <c r="AF34" s="14">
        <f t="shared" si="6"/>
        <v>0</v>
      </c>
      <c r="AG34" s="13"/>
      <c r="AH34" s="14" t="str">
        <f t="shared" si="7"/>
        <v/>
      </c>
      <c r="AI34" s="13"/>
      <c r="AJ34" s="14" t="str">
        <f t="shared" si="8"/>
        <v/>
      </c>
      <c r="AK34" s="13"/>
      <c r="AL34" s="14" t="str">
        <f t="shared" si="9"/>
        <v/>
      </c>
      <c r="AM34" s="13"/>
      <c r="AN34" s="14" t="str">
        <f t="shared" si="10"/>
        <v/>
      </c>
      <c r="AO34" s="13"/>
      <c r="AP34" s="14" t="str">
        <f t="shared" si="11"/>
        <v/>
      </c>
      <c r="AQ34" s="13"/>
      <c r="AR34" s="14">
        <f t="shared" si="12"/>
        <v>0</v>
      </c>
      <c r="AS34" s="13"/>
      <c r="AT34" s="14">
        <f t="shared" si="13"/>
        <v>0</v>
      </c>
      <c r="AU34" s="14">
        <f t="shared" si="14"/>
        <v>0</v>
      </c>
      <c r="AV34" s="13"/>
      <c r="AW34" s="14" t="str">
        <f t="shared" si="15"/>
        <v/>
      </c>
      <c r="AX34" s="13"/>
      <c r="AY34" s="14" t="str">
        <f t="shared" si="16"/>
        <v/>
      </c>
      <c r="AZ34" s="13"/>
      <c r="BA34" s="14" t="str">
        <f t="shared" si="17"/>
        <v/>
      </c>
      <c r="BB34" s="13"/>
      <c r="BC34" s="14">
        <f t="shared" si="18"/>
        <v>0</v>
      </c>
      <c r="BD34" s="14">
        <f t="shared" si="19"/>
        <v>0</v>
      </c>
      <c r="BE34" s="13"/>
      <c r="BF34" s="14" t="str">
        <f t="shared" si="20"/>
        <v/>
      </c>
      <c r="BG34" s="13"/>
      <c r="BH34" s="14" t="str">
        <f t="shared" si="21"/>
        <v/>
      </c>
      <c r="BI34" s="14">
        <f t="shared" si="22"/>
        <v>0</v>
      </c>
      <c r="BJ34" s="14">
        <f t="shared" si="23"/>
        <v>0</v>
      </c>
      <c r="BK34" s="14" t="str">
        <f t="shared" si="24"/>
        <v>LOW RISK</v>
      </c>
      <c r="BL34" s="14" t="str">
        <f t="shared" si="25"/>
        <v/>
      </c>
      <c r="BM34" s="13"/>
      <c r="BN34" s="12"/>
      <c r="BO34" s="13"/>
      <c r="BP34" s="13"/>
      <c r="BQ34" s="13"/>
      <c r="BR34" s="13"/>
      <c r="BS34" s="13"/>
      <c r="BT34" s="13"/>
      <c r="BU34" s="14" t="str">
        <f t="shared" si="26"/>
        <v/>
      </c>
      <c r="BV34" s="13"/>
      <c r="BW34" s="13"/>
      <c r="BX34" s="13"/>
      <c r="BY34" s="13"/>
      <c r="BZ34" s="13"/>
      <c r="CA34" s="13"/>
      <c r="CB34" s="13"/>
      <c r="CC34" s="14" t="str">
        <f t="shared" si="27"/>
        <v/>
      </c>
      <c r="CD34" s="13"/>
      <c r="CE34" s="13"/>
      <c r="CF34" s="12"/>
      <c r="CG34" s="13"/>
      <c r="CH34" s="13"/>
      <c r="CI34" s="13"/>
      <c r="CJ34" s="13"/>
      <c r="CK34" s="13"/>
      <c r="CL34" s="12"/>
      <c r="CM34" s="13"/>
      <c r="CN34" s="13"/>
      <c r="CO34" s="13"/>
      <c r="CP34" s="12"/>
    </row>
    <row r="35" spans="1:94" x14ac:dyDescent="0.2">
      <c r="A35" s="12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4" t="str">
        <f t="shared" ref="T35:T66" si="28">IF(COUNTIF(K35:S35,"Y")&gt;0,"STOP — ABS CI PRESENT","✓ Clear to Score")</f>
        <v>✓ Clear to Score</v>
      </c>
      <c r="U35" s="13"/>
      <c r="V35" s="13"/>
      <c r="W35" s="14" t="str">
        <f t="shared" ref="W35:W66" si="29">IFERROR(IF(V35="","",IF(V35="≥3.5 g/dL",0,IF(V35="3.0-3.49 g/dL",1,IF(V35="2.5-2.99 g/dL",3,0)))),"")</f>
        <v/>
      </c>
      <c r="X35" s="13"/>
      <c r="Y35" s="14" t="str">
        <f t="shared" ref="Y35:Y66" si="30">IFERROR(IF(X35="","",IF(X35="≥18 mg/dL",0,IF(X35="12-17.9 mg/dL",1,2))),"")</f>
        <v/>
      </c>
      <c r="Z35" s="13"/>
      <c r="AA35" s="14" t="str">
        <f t="shared" ref="AA35:AA66" si="31">IFERROR(IF(Z35="","",IF(ISNUMBER(SEARCH("Normal",Z35)),0,IF(ISNUMBER(SEARCH("Borderline",Z35)),1,3))),"")</f>
        <v/>
      </c>
      <c r="AB35" s="13"/>
      <c r="AC35" s="14" t="str">
        <f t="shared" ref="AC35:AC66" si="32">IFERROR(IF(U35="N",0,IF(AB35="","",IF(AB35="0.5-2.0 ng/mL",1,0))),"")</f>
        <v/>
      </c>
      <c r="AD35" s="13"/>
      <c r="AE35" s="14">
        <f t="shared" ref="AE35:AE66" si="33">IFERROR(IF(U35="N",0,IF(AD35="Y",1,0)),"")</f>
        <v>0</v>
      </c>
      <c r="AF35" s="14">
        <f t="shared" ref="AF35:AF66" si="34">IFERROR(SUM(W35,Y35,AA35,AC35,AE35),"")</f>
        <v>0</v>
      </c>
      <c r="AG35" s="13"/>
      <c r="AH35" s="14" t="str">
        <f t="shared" ref="AH35:AH66" si="35">IFERROR(IF(AG35="","",IF(AG35="Ischial",3,IF(AG35="Multiple Sites",1,0))),"")</f>
        <v/>
      </c>
      <c r="AI35" s="13"/>
      <c r="AJ35" s="14" t="str">
        <f t="shared" ref="AJ35:AJ66" si="36">IFERROR(IF(AI35="","",IF(AI35="&lt;50 cm²",0,IF(AI35="50-100 cm²",1,2))),"")</f>
        <v/>
      </c>
      <c r="AK35" s="13"/>
      <c r="AL35" s="14" t="str">
        <f t="shared" ref="AL35:AL66" si="37">IFERROR(IF(AK35="","",IF(AK35="None",0,IF(AK35="Chronic (&gt;4wk + sequestrum/sinus)",1,3))),"")</f>
        <v/>
      </c>
      <c r="AM35" s="13"/>
      <c r="AN35" s="14" t="str">
        <f t="shared" ref="AN35:AN66" si="38">IFERROR(IF(AM35="","",IF(AM35="None",0,IF(AM35="1 prior flap",2,3))),"")</f>
        <v/>
      </c>
      <c r="AO35" s="13"/>
      <c r="AP35" s="14" t="str">
        <f t="shared" ref="AP35:AP66" si="39">IFERROR(IF(AO35="","",IF(AO35="None",0,IF(AO35="Intermittent (not daily)",1,2))),"")</f>
        <v/>
      </c>
      <c r="AQ35" s="13"/>
      <c r="AR35" s="14">
        <f t="shared" ref="AR35:AR66" si="40">IFERROR(IF(OR(AG35="Lower Extremity",AG35="Multiple Sites"),IF(AQ35="Y",1,0),0),"")</f>
        <v>0</v>
      </c>
      <c r="AS35" s="13"/>
      <c r="AT35" s="14">
        <f t="shared" ref="AT35:AT66" si="41">IFERROR(IF(AS35="Y",1,0),"")</f>
        <v>0</v>
      </c>
      <c r="AU35" s="14">
        <f t="shared" ref="AU35:AU66" si="42">IFERROR(SUM(AH35,AJ35,AL35,AN35,AP35,AR35,AT35),"")</f>
        <v>0</v>
      </c>
      <c r="AV35" s="13"/>
      <c r="AW35" s="14" t="str">
        <f t="shared" ref="AW35:AW66" si="43">IFERROR(IF(AV35="","",IF(AV35="No diabetes / HbA1c &lt;7.0%",0,IF(AV35="HbA1c 7.0-7.9%",1,2))),"")</f>
        <v/>
      </c>
      <c r="AX35" s="13"/>
      <c r="AY35" s="14" t="str">
        <f t="shared" ref="AY35:AY66" si="44">IFERROR(IF(AX35="","",IF(AX35="Never / Former (&gt;6mo abstinence)",0,2)),"")</f>
        <v/>
      </c>
      <c r="AZ35" s="13"/>
      <c r="BA35" s="14" t="str">
        <f t="shared" ref="BA35:BA66" si="45">IFERROR(IF(AZ35="","",IF(AZ35="None",0,IF(AZ35="One stable condition",1,2))),"")</f>
        <v/>
      </c>
      <c r="BB35" s="13"/>
      <c r="BC35" s="14">
        <f t="shared" ref="BC35:BC66" si="46">IFERROR(IF(BB35="Y",2,0),"")</f>
        <v>0</v>
      </c>
      <c r="BD35" s="14">
        <f t="shared" ref="BD35:BD66" si="47">IFERROR(SUM(AW35,AY35,BA35,BC35),"")</f>
        <v>0</v>
      </c>
      <c r="BE35" s="13"/>
      <c r="BF35" s="14" t="str">
        <f t="shared" ref="BF35:BF66" si="48">IFERROR(IF(BE35="","",IF(BE35="Ambulatory",0,IF(BE35="Wheelchair w/ cushions",1,IF(BE35="Bedbound w/ offloading mattress",2,3)))),"")</f>
        <v/>
      </c>
      <c r="BG35" s="13"/>
      <c r="BH35" s="14" t="str">
        <f t="shared" ref="BH35:BH66" si="49">IFERROR(IF(BG35="","",IF(BG35="Reliable 24/7 care",0,IF(BG35="Some support — inconsistent",2,0))),"")</f>
        <v/>
      </c>
      <c r="BI35" s="14">
        <f t="shared" ref="BI35:BI66" si="50">IFERROR(SUM(BF35,BH35),"")</f>
        <v>0</v>
      </c>
      <c r="BJ35" s="14">
        <f t="shared" ref="BJ35:BJ66" si="51">IFERROR(IF(COUNTA(AF35,AU35,BD35,BI35)=0,"",SUM(AF35,AU35,BD35,BI35)),"")</f>
        <v>0</v>
      </c>
      <c r="BK35" s="14" t="str">
        <f t="shared" ref="BK35:BK66" si="52">IFERROR(IF(BJ35="","",IF(BJ35&lt;6,"LOW RISK",IF(BJ35&lt;13,"MODERATE RISK",IF(BJ35&lt;20,"HIGH RISK","NOT AN IDEAL CANDIDATE")))),"")</f>
        <v>LOW RISK</v>
      </c>
      <c r="BL35" s="14" t="str">
        <f t="shared" ref="BL35:BL66" si="53">IFERROR(_xlfn.SINGLE(_xlfn.TEXTJOIN(", ", TRUE(), IF(V35 = "&lt;2.5 g/dL (Abs CI)", "Albumin CI", ""), IF(AB35 = "&gt;2.0 or Sepsis (Abs CI)", "PCT CI", ""), IF(BG35 = "No support (Functional CI)", "Functional CI", ""))), "")</f>
        <v/>
      </c>
      <c r="BM35" s="13"/>
      <c r="BN35" s="12"/>
      <c r="BO35" s="13"/>
      <c r="BP35" s="13"/>
      <c r="BQ35" s="13"/>
      <c r="BR35" s="13"/>
      <c r="BS35" s="13"/>
      <c r="BT35" s="13"/>
      <c r="BU35" s="14" t="str">
        <f t="shared" ref="BU35:BU66" si="54">IFERROR(IF(BT35="","",IF(BT35&lt;6,"LOW RISK",IF(BT35&lt;13,"MODERATE RISK",IF(BT35&lt;20,"HIGH RISK","NOT AN IDEAL CANDIDATE")))),"")</f>
        <v/>
      </c>
      <c r="BV35" s="13"/>
      <c r="BW35" s="13"/>
      <c r="BX35" s="13"/>
      <c r="BY35" s="13"/>
      <c r="BZ35" s="13"/>
      <c r="CA35" s="13"/>
      <c r="CB35" s="13"/>
      <c r="CC35" s="14" t="str">
        <f t="shared" ref="CC35:CC66" si="55">IFERROR(IF(COUNTA(BV35:CB35)=0,"",IF(COUNTIF(BV35:CB35,"Y")&gt;0,"YES — EVENT","NO event")),"")</f>
        <v/>
      </c>
      <c r="CD35" s="13"/>
      <c r="CE35" s="13"/>
      <c r="CF35" s="12"/>
      <c r="CG35" s="13"/>
      <c r="CH35" s="13"/>
      <c r="CI35" s="13"/>
      <c r="CJ35" s="13"/>
      <c r="CK35" s="13"/>
      <c r="CL35" s="12"/>
      <c r="CM35" s="13"/>
      <c r="CN35" s="13"/>
      <c r="CO35" s="13"/>
      <c r="CP35" s="12"/>
    </row>
    <row r="36" spans="1:94" x14ac:dyDescent="0.2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4" t="str">
        <f t="shared" si="28"/>
        <v>✓ Clear to Score</v>
      </c>
      <c r="U36" s="13"/>
      <c r="V36" s="13"/>
      <c r="W36" s="14" t="str">
        <f t="shared" si="29"/>
        <v/>
      </c>
      <c r="X36" s="13"/>
      <c r="Y36" s="14" t="str">
        <f t="shared" si="30"/>
        <v/>
      </c>
      <c r="Z36" s="13"/>
      <c r="AA36" s="14" t="str">
        <f t="shared" si="31"/>
        <v/>
      </c>
      <c r="AB36" s="13"/>
      <c r="AC36" s="14" t="str">
        <f t="shared" si="32"/>
        <v/>
      </c>
      <c r="AD36" s="13"/>
      <c r="AE36" s="14">
        <f t="shared" si="33"/>
        <v>0</v>
      </c>
      <c r="AF36" s="14">
        <f t="shared" si="34"/>
        <v>0</v>
      </c>
      <c r="AG36" s="13"/>
      <c r="AH36" s="14" t="str">
        <f t="shared" si="35"/>
        <v/>
      </c>
      <c r="AI36" s="13"/>
      <c r="AJ36" s="14" t="str">
        <f t="shared" si="36"/>
        <v/>
      </c>
      <c r="AK36" s="13"/>
      <c r="AL36" s="14" t="str">
        <f t="shared" si="37"/>
        <v/>
      </c>
      <c r="AM36" s="13"/>
      <c r="AN36" s="14" t="str">
        <f t="shared" si="38"/>
        <v/>
      </c>
      <c r="AO36" s="13"/>
      <c r="AP36" s="14" t="str">
        <f t="shared" si="39"/>
        <v/>
      </c>
      <c r="AQ36" s="13"/>
      <c r="AR36" s="14">
        <f t="shared" si="40"/>
        <v>0</v>
      </c>
      <c r="AS36" s="13"/>
      <c r="AT36" s="14">
        <f t="shared" si="41"/>
        <v>0</v>
      </c>
      <c r="AU36" s="14">
        <f t="shared" si="42"/>
        <v>0</v>
      </c>
      <c r="AV36" s="13"/>
      <c r="AW36" s="14" t="str">
        <f t="shared" si="43"/>
        <v/>
      </c>
      <c r="AX36" s="13"/>
      <c r="AY36" s="14" t="str">
        <f t="shared" si="44"/>
        <v/>
      </c>
      <c r="AZ36" s="13"/>
      <c r="BA36" s="14" t="str">
        <f t="shared" si="45"/>
        <v/>
      </c>
      <c r="BB36" s="13"/>
      <c r="BC36" s="14">
        <f t="shared" si="46"/>
        <v>0</v>
      </c>
      <c r="BD36" s="14">
        <f t="shared" si="47"/>
        <v>0</v>
      </c>
      <c r="BE36" s="13"/>
      <c r="BF36" s="14" t="str">
        <f t="shared" si="48"/>
        <v/>
      </c>
      <c r="BG36" s="13"/>
      <c r="BH36" s="14" t="str">
        <f t="shared" si="49"/>
        <v/>
      </c>
      <c r="BI36" s="14">
        <f t="shared" si="50"/>
        <v>0</v>
      </c>
      <c r="BJ36" s="14">
        <f t="shared" si="51"/>
        <v>0</v>
      </c>
      <c r="BK36" s="14" t="str">
        <f t="shared" si="52"/>
        <v>LOW RISK</v>
      </c>
      <c r="BL36" s="14" t="str">
        <f t="shared" si="53"/>
        <v/>
      </c>
      <c r="BM36" s="13"/>
      <c r="BN36" s="12"/>
      <c r="BO36" s="13"/>
      <c r="BP36" s="13"/>
      <c r="BQ36" s="13"/>
      <c r="BR36" s="13"/>
      <c r="BS36" s="13"/>
      <c r="BT36" s="13"/>
      <c r="BU36" s="14" t="str">
        <f t="shared" si="54"/>
        <v/>
      </c>
      <c r="BV36" s="13"/>
      <c r="BW36" s="13"/>
      <c r="BX36" s="13"/>
      <c r="BY36" s="13"/>
      <c r="BZ36" s="13"/>
      <c r="CA36" s="13"/>
      <c r="CB36" s="13"/>
      <c r="CC36" s="14" t="str">
        <f t="shared" si="55"/>
        <v/>
      </c>
      <c r="CD36" s="13"/>
      <c r="CE36" s="13"/>
      <c r="CF36" s="12"/>
      <c r="CG36" s="13"/>
      <c r="CH36" s="13"/>
      <c r="CI36" s="13"/>
      <c r="CJ36" s="13"/>
      <c r="CK36" s="13"/>
      <c r="CL36" s="12"/>
      <c r="CM36" s="13"/>
      <c r="CN36" s="13"/>
      <c r="CO36" s="13"/>
      <c r="CP36" s="12"/>
    </row>
    <row r="37" spans="1:94" x14ac:dyDescent="0.2">
      <c r="A37" s="12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4" t="str">
        <f t="shared" si="28"/>
        <v>✓ Clear to Score</v>
      </c>
      <c r="U37" s="13"/>
      <c r="V37" s="13"/>
      <c r="W37" s="14" t="str">
        <f t="shared" si="29"/>
        <v/>
      </c>
      <c r="X37" s="13"/>
      <c r="Y37" s="14" t="str">
        <f t="shared" si="30"/>
        <v/>
      </c>
      <c r="Z37" s="13"/>
      <c r="AA37" s="14" t="str">
        <f t="shared" si="31"/>
        <v/>
      </c>
      <c r="AB37" s="13"/>
      <c r="AC37" s="14" t="str">
        <f t="shared" si="32"/>
        <v/>
      </c>
      <c r="AD37" s="13"/>
      <c r="AE37" s="14">
        <f t="shared" si="33"/>
        <v>0</v>
      </c>
      <c r="AF37" s="14">
        <f t="shared" si="34"/>
        <v>0</v>
      </c>
      <c r="AG37" s="13"/>
      <c r="AH37" s="14" t="str">
        <f t="shared" si="35"/>
        <v/>
      </c>
      <c r="AI37" s="13"/>
      <c r="AJ37" s="14" t="str">
        <f t="shared" si="36"/>
        <v/>
      </c>
      <c r="AK37" s="13"/>
      <c r="AL37" s="14" t="str">
        <f t="shared" si="37"/>
        <v/>
      </c>
      <c r="AM37" s="13"/>
      <c r="AN37" s="14" t="str">
        <f t="shared" si="38"/>
        <v/>
      </c>
      <c r="AO37" s="13"/>
      <c r="AP37" s="14" t="str">
        <f t="shared" si="39"/>
        <v/>
      </c>
      <c r="AQ37" s="13"/>
      <c r="AR37" s="14">
        <f t="shared" si="40"/>
        <v>0</v>
      </c>
      <c r="AS37" s="13"/>
      <c r="AT37" s="14">
        <f t="shared" si="41"/>
        <v>0</v>
      </c>
      <c r="AU37" s="14">
        <f t="shared" si="42"/>
        <v>0</v>
      </c>
      <c r="AV37" s="13"/>
      <c r="AW37" s="14" t="str">
        <f t="shared" si="43"/>
        <v/>
      </c>
      <c r="AX37" s="13"/>
      <c r="AY37" s="14" t="str">
        <f t="shared" si="44"/>
        <v/>
      </c>
      <c r="AZ37" s="13"/>
      <c r="BA37" s="14" t="str">
        <f t="shared" si="45"/>
        <v/>
      </c>
      <c r="BB37" s="13"/>
      <c r="BC37" s="14">
        <f t="shared" si="46"/>
        <v>0</v>
      </c>
      <c r="BD37" s="14">
        <f t="shared" si="47"/>
        <v>0</v>
      </c>
      <c r="BE37" s="13"/>
      <c r="BF37" s="14" t="str">
        <f t="shared" si="48"/>
        <v/>
      </c>
      <c r="BG37" s="13"/>
      <c r="BH37" s="14" t="str">
        <f t="shared" si="49"/>
        <v/>
      </c>
      <c r="BI37" s="14">
        <f t="shared" si="50"/>
        <v>0</v>
      </c>
      <c r="BJ37" s="14">
        <f t="shared" si="51"/>
        <v>0</v>
      </c>
      <c r="BK37" s="14" t="str">
        <f t="shared" si="52"/>
        <v>LOW RISK</v>
      </c>
      <c r="BL37" s="14" t="str">
        <f t="shared" si="53"/>
        <v/>
      </c>
      <c r="BM37" s="13"/>
      <c r="BN37" s="12"/>
      <c r="BO37" s="13"/>
      <c r="BP37" s="13"/>
      <c r="BQ37" s="13"/>
      <c r="BR37" s="13"/>
      <c r="BS37" s="13"/>
      <c r="BT37" s="13"/>
      <c r="BU37" s="14" t="str">
        <f t="shared" si="54"/>
        <v/>
      </c>
      <c r="BV37" s="13"/>
      <c r="BW37" s="13"/>
      <c r="BX37" s="13"/>
      <c r="BY37" s="13"/>
      <c r="BZ37" s="13"/>
      <c r="CA37" s="13"/>
      <c r="CB37" s="13"/>
      <c r="CC37" s="14" t="str">
        <f t="shared" si="55"/>
        <v/>
      </c>
      <c r="CD37" s="13"/>
      <c r="CE37" s="13"/>
      <c r="CF37" s="12"/>
      <c r="CG37" s="13"/>
      <c r="CH37" s="13"/>
      <c r="CI37" s="13"/>
      <c r="CJ37" s="13"/>
      <c r="CK37" s="13"/>
      <c r="CL37" s="12"/>
      <c r="CM37" s="13"/>
      <c r="CN37" s="13"/>
      <c r="CO37" s="13"/>
      <c r="CP37" s="12"/>
    </row>
    <row r="38" spans="1:94" x14ac:dyDescent="0.2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4" t="str">
        <f t="shared" si="28"/>
        <v>✓ Clear to Score</v>
      </c>
      <c r="U38" s="13"/>
      <c r="V38" s="13"/>
      <c r="W38" s="14" t="str">
        <f t="shared" si="29"/>
        <v/>
      </c>
      <c r="X38" s="13"/>
      <c r="Y38" s="14" t="str">
        <f t="shared" si="30"/>
        <v/>
      </c>
      <c r="Z38" s="13"/>
      <c r="AA38" s="14" t="str">
        <f t="shared" si="31"/>
        <v/>
      </c>
      <c r="AB38" s="13"/>
      <c r="AC38" s="14" t="str">
        <f t="shared" si="32"/>
        <v/>
      </c>
      <c r="AD38" s="13"/>
      <c r="AE38" s="14">
        <f t="shared" si="33"/>
        <v>0</v>
      </c>
      <c r="AF38" s="14">
        <f t="shared" si="34"/>
        <v>0</v>
      </c>
      <c r="AG38" s="13"/>
      <c r="AH38" s="14" t="str">
        <f t="shared" si="35"/>
        <v/>
      </c>
      <c r="AI38" s="13"/>
      <c r="AJ38" s="14" t="str">
        <f t="shared" si="36"/>
        <v/>
      </c>
      <c r="AK38" s="13"/>
      <c r="AL38" s="14" t="str">
        <f t="shared" si="37"/>
        <v/>
      </c>
      <c r="AM38" s="13"/>
      <c r="AN38" s="14" t="str">
        <f t="shared" si="38"/>
        <v/>
      </c>
      <c r="AO38" s="13"/>
      <c r="AP38" s="14" t="str">
        <f t="shared" si="39"/>
        <v/>
      </c>
      <c r="AQ38" s="13"/>
      <c r="AR38" s="14">
        <f t="shared" si="40"/>
        <v>0</v>
      </c>
      <c r="AS38" s="13"/>
      <c r="AT38" s="14">
        <f t="shared" si="41"/>
        <v>0</v>
      </c>
      <c r="AU38" s="14">
        <f t="shared" si="42"/>
        <v>0</v>
      </c>
      <c r="AV38" s="13"/>
      <c r="AW38" s="14" t="str">
        <f t="shared" si="43"/>
        <v/>
      </c>
      <c r="AX38" s="13"/>
      <c r="AY38" s="14" t="str">
        <f t="shared" si="44"/>
        <v/>
      </c>
      <c r="AZ38" s="13"/>
      <c r="BA38" s="14" t="str">
        <f t="shared" si="45"/>
        <v/>
      </c>
      <c r="BB38" s="13"/>
      <c r="BC38" s="14">
        <f t="shared" si="46"/>
        <v>0</v>
      </c>
      <c r="BD38" s="14">
        <f t="shared" si="47"/>
        <v>0</v>
      </c>
      <c r="BE38" s="13"/>
      <c r="BF38" s="14" t="str">
        <f t="shared" si="48"/>
        <v/>
      </c>
      <c r="BG38" s="13"/>
      <c r="BH38" s="14" t="str">
        <f t="shared" si="49"/>
        <v/>
      </c>
      <c r="BI38" s="14">
        <f t="shared" si="50"/>
        <v>0</v>
      </c>
      <c r="BJ38" s="14">
        <f t="shared" si="51"/>
        <v>0</v>
      </c>
      <c r="BK38" s="14" t="str">
        <f t="shared" si="52"/>
        <v>LOW RISK</v>
      </c>
      <c r="BL38" s="14" t="str">
        <f t="shared" si="53"/>
        <v/>
      </c>
      <c r="BM38" s="13"/>
      <c r="BN38" s="12"/>
      <c r="BO38" s="13"/>
      <c r="BP38" s="13"/>
      <c r="BQ38" s="13"/>
      <c r="BR38" s="13"/>
      <c r="BS38" s="13"/>
      <c r="BT38" s="13"/>
      <c r="BU38" s="14" t="str">
        <f t="shared" si="54"/>
        <v/>
      </c>
      <c r="BV38" s="13"/>
      <c r="BW38" s="13"/>
      <c r="BX38" s="13"/>
      <c r="BY38" s="13"/>
      <c r="BZ38" s="13"/>
      <c r="CA38" s="13"/>
      <c r="CB38" s="13"/>
      <c r="CC38" s="14" t="str">
        <f t="shared" si="55"/>
        <v/>
      </c>
      <c r="CD38" s="13"/>
      <c r="CE38" s="13"/>
      <c r="CF38" s="12"/>
      <c r="CG38" s="13"/>
      <c r="CH38" s="13"/>
      <c r="CI38" s="13"/>
      <c r="CJ38" s="13"/>
      <c r="CK38" s="13"/>
      <c r="CL38" s="12"/>
      <c r="CM38" s="13"/>
      <c r="CN38" s="13"/>
      <c r="CO38" s="13"/>
      <c r="CP38" s="12"/>
    </row>
    <row r="39" spans="1:94" x14ac:dyDescent="0.2">
      <c r="A39" s="12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4" t="str">
        <f t="shared" si="28"/>
        <v>✓ Clear to Score</v>
      </c>
      <c r="U39" s="13"/>
      <c r="V39" s="13"/>
      <c r="W39" s="14" t="str">
        <f t="shared" si="29"/>
        <v/>
      </c>
      <c r="X39" s="13"/>
      <c r="Y39" s="14" t="str">
        <f t="shared" si="30"/>
        <v/>
      </c>
      <c r="Z39" s="13"/>
      <c r="AA39" s="14" t="str">
        <f t="shared" si="31"/>
        <v/>
      </c>
      <c r="AB39" s="13"/>
      <c r="AC39" s="14" t="str">
        <f t="shared" si="32"/>
        <v/>
      </c>
      <c r="AD39" s="13"/>
      <c r="AE39" s="14">
        <f t="shared" si="33"/>
        <v>0</v>
      </c>
      <c r="AF39" s="14">
        <f t="shared" si="34"/>
        <v>0</v>
      </c>
      <c r="AG39" s="13"/>
      <c r="AH39" s="14" t="str">
        <f t="shared" si="35"/>
        <v/>
      </c>
      <c r="AI39" s="13"/>
      <c r="AJ39" s="14" t="str">
        <f t="shared" si="36"/>
        <v/>
      </c>
      <c r="AK39" s="13"/>
      <c r="AL39" s="14" t="str">
        <f t="shared" si="37"/>
        <v/>
      </c>
      <c r="AM39" s="13"/>
      <c r="AN39" s="14" t="str">
        <f t="shared" si="38"/>
        <v/>
      </c>
      <c r="AO39" s="13"/>
      <c r="AP39" s="14" t="str">
        <f t="shared" si="39"/>
        <v/>
      </c>
      <c r="AQ39" s="13"/>
      <c r="AR39" s="14">
        <f t="shared" si="40"/>
        <v>0</v>
      </c>
      <c r="AS39" s="13"/>
      <c r="AT39" s="14">
        <f t="shared" si="41"/>
        <v>0</v>
      </c>
      <c r="AU39" s="14">
        <f t="shared" si="42"/>
        <v>0</v>
      </c>
      <c r="AV39" s="13"/>
      <c r="AW39" s="14" t="str">
        <f t="shared" si="43"/>
        <v/>
      </c>
      <c r="AX39" s="13"/>
      <c r="AY39" s="14" t="str">
        <f t="shared" si="44"/>
        <v/>
      </c>
      <c r="AZ39" s="13"/>
      <c r="BA39" s="14" t="str">
        <f t="shared" si="45"/>
        <v/>
      </c>
      <c r="BB39" s="13"/>
      <c r="BC39" s="14">
        <f t="shared" si="46"/>
        <v>0</v>
      </c>
      <c r="BD39" s="14">
        <f t="shared" si="47"/>
        <v>0</v>
      </c>
      <c r="BE39" s="13"/>
      <c r="BF39" s="14" t="str">
        <f t="shared" si="48"/>
        <v/>
      </c>
      <c r="BG39" s="13"/>
      <c r="BH39" s="14" t="str">
        <f t="shared" si="49"/>
        <v/>
      </c>
      <c r="BI39" s="14">
        <f t="shared" si="50"/>
        <v>0</v>
      </c>
      <c r="BJ39" s="14">
        <f t="shared" si="51"/>
        <v>0</v>
      </c>
      <c r="BK39" s="14" t="str">
        <f t="shared" si="52"/>
        <v>LOW RISK</v>
      </c>
      <c r="BL39" s="14" t="str">
        <f t="shared" si="53"/>
        <v/>
      </c>
      <c r="BM39" s="13"/>
      <c r="BN39" s="12"/>
      <c r="BO39" s="13"/>
      <c r="BP39" s="13"/>
      <c r="BQ39" s="13"/>
      <c r="BR39" s="13"/>
      <c r="BS39" s="13"/>
      <c r="BT39" s="13"/>
      <c r="BU39" s="14" t="str">
        <f t="shared" si="54"/>
        <v/>
      </c>
      <c r="BV39" s="13"/>
      <c r="BW39" s="13"/>
      <c r="BX39" s="13"/>
      <c r="BY39" s="13"/>
      <c r="BZ39" s="13"/>
      <c r="CA39" s="13"/>
      <c r="CB39" s="13"/>
      <c r="CC39" s="14" t="str">
        <f t="shared" si="55"/>
        <v/>
      </c>
      <c r="CD39" s="13"/>
      <c r="CE39" s="13"/>
      <c r="CF39" s="12"/>
      <c r="CG39" s="13"/>
      <c r="CH39" s="13"/>
      <c r="CI39" s="13"/>
      <c r="CJ39" s="13"/>
      <c r="CK39" s="13"/>
      <c r="CL39" s="12"/>
      <c r="CM39" s="13"/>
      <c r="CN39" s="13"/>
      <c r="CO39" s="13"/>
      <c r="CP39" s="12"/>
    </row>
    <row r="40" spans="1:94" x14ac:dyDescent="0.2">
      <c r="A40" s="12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4" t="str">
        <f t="shared" si="28"/>
        <v>✓ Clear to Score</v>
      </c>
      <c r="U40" s="13"/>
      <c r="V40" s="13"/>
      <c r="W40" s="14" t="str">
        <f t="shared" si="29"/>
        <v/>
      </c>
      <c r="X40" s="13"/>
      <c r="Y40" s="14" t="str">
        <f t="shared" si="30"/>
        <v/>
      </c>
      <c r="Z40" s="13"/>
      <c r="AA40" s="14" t="str">
        <f t="shared" si="31"/>
        <v/>
      </c>
      <c r="AB40" s="13"/>
      <c r="AC40" s="14" t="str">
        <f t="shared" si="32"/>
        <v/>
      </c>
      <c r="AD40" s="13"/>
      <c r="AE40" s="14">
        <f t="shared" si="33"/>
        <v>0</v>
      </c>
      <c r="AF40" s="14">
        <f t="shared" si="34"/>
        <v>0</v>
      </c>
      <c r="AG40" s="13"/>
      <c r="AH40" s="14" t="str">
        <f t="shared" si="35"/>
        <v/>
      </c>
      <c r="AI40" s="13"/>
      <c r="AJ40" s="14" t="str">
        <f t="shared" si="36"/>
        <v/>
      </c>
      <c r="AK40" s="13"/>
      <c r="AL40" s="14" t="str">
        <f t="shared" si="37"/>
        <v/>
      </c>
      <c r="AM40" s="13"/>
      <c r="AN40" s="14" t="str">
        <f t="shared" si="38"/>
        <v/>
      </c>
      <c r="AO40" s="13"/>
      <c r="AP40" s="14" t="str">
        <f t="shared" si="39"/>
        <v/>
      </c>
      <c r="AQ40" s="13"/>
      <c r="AR40" s="14">
        <f t="shared" si="40"/>
        <v>0</v>
      </c>
      <c r="AS40" s="13"/>
      <c r="AT40" s="14">
        <f t="shared" si="41"/>
        <v>0</v>
      </c>
      <c r="AU40" s="14">
        <f t="shared" si="42"/>
        <v>0</v>
      </c>
      <c r="AV40" s="13"/>
      <c r="AW40" s="14" t="str">
        <f t="shared" si="43"/>
        <v/>
      </c>
      <c r="AX40" s="13"/>
      <c r="AY40" s="14" t="str">
        <f t="shared" si="44"/>
        <v/>
      </c>
      <c r="AZ40" s="13"/>
      <c r="BA40" s="14" t="str">
        <f t="shared" si="45"/>
        <v/>
      </c>
      <c r="BB40" s="13"/>
      <c r="BC40" s="14">
        <f t="shared" si="46"/>
        <v>0</v>
      </c>
      <c r="BD40" s="14">
        <f t="shared" si="47"/>
        <v>0</v>
      </c>
      <c r="BE40" s="13"/>
      <c r="BF40" s="14" t="str">
        <f t="shared" si="48"/>
        <v/>
      </c>
      <c r="BG40" s="13"/>
      <c r="BH40" s="14" t="str">
        <f t="shared" si="49"/>
        <v/>
      </c>
      <c r="BI40" s="14">
        <f t="shared" si="50"/>
        <v>0</v>
      </c>
      <c r="BJ40" s="14">
        <f t="shared" si="51"/>
        <v>0</v>
      </c>
      <c r="BK40" s="14" t="str">
        <f t="shared" si="52"/>
        <v>LOW RISK</v>
      </c>
      <c r="BL40" s="14" t="str">
        <f t="shared" si="53"/>
        <v/>
      </c>
      <c r="BM40" s="13"/>
      <c r="BN40" s="12"/>
      <c r="BO40" s="13"/>
      <c r="BP40" s="13"/>
      <c r="BQ40" s="13"/>
      <c r="BR40" s="13"/>
      <c r="BS40" s="13"/>
      <c r="BT40" s="13"/>
      <c r="BU40" s="14" t="str">
        <f t="shared" si="54"/>
        <v/>
      </c>
      <c r="BV40" s="13"/>
      <c r="BW40" s="13"/>
      <c r="BX40" s="13"/>
      <c r="BY40" s="13"/>
      <c r="BZ40" s="13"/>
      <c r="CA40" s="13"/>
      <c r="CB40" s="13"/>
      <c r="CC40" s="14" t="str">
        <f t="shared" si="55"/>
        <v/>
      </c>
      <c r="CD40" s="13"/>
      <c r="CE40" s="13"/>
      <c r="CF40" s="12"/>
      <c r="CG40" s="13"/>
      <c r="CH40" s="13"/>
      <c r="CI40" s="13"/>
      <c r="CJ40" s="13"/>
      <c r="CK40" s="13"/>
      <c r="CL40" s="12"/>
      <c r="CM40" s="13"/>
      <c r="CN40" s="13"/>
      <c r="CO40" s="13"/>
      <c r="CP40" s="12"/>
    </row>
    <row r="41" spans="1:94" x14ac:dyDescent="0.2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4" t="str">
        <f t="shared" si="28"/>
        <v>✓ Clear to Score</v>
      </c>
      <c r="U41" s="13"/>
      <c r="V41" s="13"/>
      <c r="W41" s="14" t="str">
        <f t="shared" si="29"/>
        <v/>
      </c>
      <c r="X41" s="13"/>
      <c r="Y41" s="14" t="str">
        <f t="shared" si="30"/>
        <v/>
      </c>
      <c r="Z41" s="13"/>
      <c r="AA41" s="14" t="str">
        <f t="shared" si="31"/>
        <v/>
      </c>
      <c r="AB41" s="13"/>
      <c r="AC41" s="14" t="str">
        <f t="shared" si="32"/>
        <v/>
      </c>
      <c r="AD41" s="13"/>
      <c r="AE41" s="14">
        <f t="shared" si="33"/>
        <v>0</v>
      </c>
      <c r="AF41" s="14">
        <f t="shared" si="34"/>
        <v>0</v>
      </c>
      <c r="AG41" s="13"/>
      <c r="AH41" s="14" t="str">
        <f t="shared" si="35"/>
        <v/>
      </c>
      <c r="AI41" s="13"/>
      <c r="AJ41" s="14" t="str">
        <f t="shared" si="36"/>
        <v/>
      </c>
      <c r="AK41" s="13"/>
      <c r="AL41" s="14" t="str">
        <f t="shared" si="37"/>
        <v/>
      </c>
      <c r="AM41" s="13"/>
      <c r="AN41" s="14" t="str">
        <f t="shared" si="38"/>
        <v/>
      </c>
      <c r="AO41" s="13"/>
      <c r="AP41" s="14" t="str">
        <f t="shared" si="39"/>
        <v/>
      </c>
      <c r="AQ41" s="13"/>
      <c r="AR41" s="14">
        <f t="shared" si="40"/>
        <v>0</v>
      </c>
      <c r="AS41" s="13"/>
      <c r="AT41" s="14">
        <f t="shared" si="41"/>
        <v>0</v>
      </c>
      <c r="AU41" s="14">
        <f t="shared" si="42"/>
        <v>0</v>
      </c>
      <c r="AV41" s="13"/>
      <c r="AW41" s="14" t="str">
        <f t="shared" si="43"/>
        <v/>
      </c>
      <c r="AX41" s="13"/>
      <c r="AY41" s="14" t="str">
        <f t="shared" si="44"/>
        <v/>
      </c>
      <c r="AZ41" s="13"/>
      <c r="BA41" s="14" t="str">
        <f t="shared" si="45"/>
        <v/>
      </c>
      <c r="BB41" s="13"/>
      <c r="BC41" s="14">
        <f t="shared" si="46"/>
        <v>0</v>
      </c>
      <c r="BD41" s="14">
        <f t="shared" si="47"/>
        <v>0</v>
      </c>
      <c r="BE41" s="13"/>
      <c r="BF41" s="14" t="str">
        <f t="shared" si="48"/>
        <v/>
      </c>
      <c r="BG41" s="13"/>
      <c r="BH41" s="14" t="str">
        <f t="shared" si="49"/>
        <v/>
      </c>
      <c r="BI41" s="14">
        <f t="shared" si="50"/>
        <v>0</v>
      </c>
      <c r="BJ41" s="14">
        <f t="shared" si="51"/>
        <v>0</v>
      </c>
      <c r="BK41" s="14" t="str">
        <f t="shared" si="52"/>
        <v>LOW RISK</v>
      </c>
      <c r="BL41" s="14" t="str">
        <f t="shared" si="53"/>
        <v/>
      </c>
      <c r="BM41" s="13"/>
      <c r="BN41" s="12"/>
      <c r="BO41" s="13"/>
      <c r="BP41" s="13"/>
      <c r="BQ41" s="13"/>
      <c r="BR41" s="13"/>
      <c r="BS41" s="13"/>
      <c r="BT41" s="13"/>
      <c r="BU41" s="14" t="str">
        <f t="shared" si="54"/>
        <v/>
      </c>
      <c r="BV41" s="13"/>
      <c r="BW41" s="13"/>
      <c r="BX41" s="13"/>
      <c r="BY41" s="13"/>
      <c r="BZ41" s="13"/>
      <c r="CA41" s="13"/>
      <c r="CB41" s="13"/>
      <c r="CC41" s="14" t="str">
        <f t="shared" si="55"/>
        <v/>
      </c>
      <c r="CD41" s="13"/>
      <c r="CE41" s="13"/>
      <c r="CF41" s="12"/>
      <c r="CG41" s="13"/>
      <c r="CH41" s="13"/>
      <c r="CI41" s="13"/>
      <c r="CJ41" s="13"/>
      <c r="CK41" s="13"/>
      <c r="CL41" s="12"/>
      <c r="CM41" s="13"/>
      <c r="CN41" s="13"/>
      <c r="CO41" s="13"/>
      <c r="CP41" s="12"/>
    </row>
    <row r="42" spans="1:94" x14ac:dyDescent="0.2">
      <c r="A42" s="12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4" t="str">
        <f t="shared" si="28"/>
        <v>✓ Clear to Score</v>
      </c>
      <c r="U42" s="13"/>
      <c r="V42" s="13"/>
      <c r="W42" s="14" t="str">
        <f t="shared" si="29"/>
        <v/>
      </c>
      <c r="X42" s="13"/>
      <c r="Y42" s="14" t="str">
        <f t="shared" si="30"/>
        <v/>
      </c>
      <c r="Z42" s="13"/>
      <c r="AA42" s="14" t="str">
        <f t="shared" si="31"/>
        <v/>
      </c>
      <c r="AB42" s="13"/>
      <c r="AC42" s="14" t="str">
        <f t="shared" si="32"/>
        <v/>
      </c>
      <c r="AD42" s="13"/>
      <c r="AE42" s="14">
        <f t="shared" si="33"/>
        <v>0</v>
      </c>
      <c r="AF42" s="14">
        <f t="shared" si="34"/>
        <v>0</v>
      </c>
      <c r="AG42" s="13"/>
      <c r="AH42" s="14" t="str">
        <f t="shared" si="35"/>
        <v/>
      </c>
      <c r="AI42" s="13"/>
      <c r="AJ42" s="14" t="str">
        <f t="shared" si="36"/>
        <v/>
      </c>
      <c r="AK42" s="13"/>
      <c r="AL42" s="14" t="str">
        <f t="shared" si="37"/>
        <v/>
      </c>
      <c r="AM42" s="13"/>
      <c r="AN42" s="14" t="str">
        <f t="shared" si="38"/>
        <v/>
      </c>
      <c r="AO42" s="13"/>
      <c r="AP42" s="14" t="str">
        <f t="shared" si="39"/>
        <v/>
      </c>
      <c r="AQ42" s="13"/>
      <c r="AR42" s="14">
        <f t="shared" si="40"/>
        <v>0</v>
      </c>
      <c r="AS42" s="13"/>
      <c r="AT42" s="14">
        <f t="shared" si="41"/>
        <v>0</v>
      </c>
      <c r="AU42" s="14">
        <f t="shared" si="42"/>
        <v>0</v>
      </c>
      <c r="AV42" s="13"/>
      <c r="AW42" s="14" t="str">
        <f t="shared" si="43"/>
        <v/>
      </c>
      <c r="AX42" s="13"/>
      <c r="AY42" s="14" t="str">
        <f t="shared" si="44"/>
        <v/>
      </c>
      <c r="AZ42" s="13"/>
      <c r="BA42" s="14" t="str">
        <f t="shared" si="45"/>
        <v/>
      </c>
      <c r="BB42" s="13"/>
      <c r="BC42" s="14">
        <f t="shared" si="46"/>
        <v>0</v>
      </c>
      <c r="BD42" s="14">
        <f t="shared" si="47"/>
        <v>0</v>
      </c>
      <c r="BE42" s="13"/>
      <c r="BF42" s="14" t="str">
        <f t="shared" si="48"/>
        <v/>
      </c>
      <c r="BG42" s="13"/>
      <c r="BH42" s="14" t="str">
        <f t="shared" si="49"/>
        <v/>
      </c>
      <c r="BI42" s="14">
        <f t="shared" si="50"/>
        <v>0</v>
      </c>
      <c r="BJ42" s="14">
        <f t="shared" si="51"/>
        <v>0</v>
      </c>
      <c r="BK42" s="14" t="str">
        <f t="shared" si="52"/>
        <v>LOW RISK</v>
      </c>
      <c r="BL42" s="14" t="str">
        <f t="shared" si="53"/>
        <v/>
      </c>
      <c r="BM42" s="13"/>
      <c r="BN42" s="12"/>
      <c r="BO42" s="13"/>
      <c r="BP42" s="13"/>
      <c r="BQ42" s="13"/>
      <c r="BR42" s="13"/>
      <c r="BS42" s="13"/>
      <c r="BT42" s="13"/>
      <c r="BU42" s="14" t="str">
        <f t="shared" si="54"/>
        <v/>
      </c>
      <c r="BV42" s="13"/>
      <c r="BW42" s="13"/>
      <c r="BX42" s="13"/>
      <c r="BY42" s="13"/>
      <c r="BZ42" s="13"/>
      <c r="CA42" s="13"/>
      <c r="CB42" s="13"/>
      <c r="CC42" s="14" t="str">
        <f t="shared" si="55"/>
        <v/>
      </c>
      <c r="CD42" s="13"/>
      <c r="CE42" s="13"/>
      <c r="CF42" s="12"/>
      <c r="CG42" s="13"/>
      <c r="CH42" s="13"/>
      <c r="CI42" s="13"/>
      <c r="CJ42" s="13"/>
      <c r="CK42" s="13"/>
      <c r="CL42" s="12"/>
      <c r="CM42" s="13"/>
      <c r="CN42" s="13"/>
      <c r="CO42" s="13"/>
      <c r="CP42" s="12"/>
    </row>
    <row r="43" spans="1:94" x14ac:dyDescent="0.2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4" t="str">
        <f t="shared" si="28"/>
        <v>✓ Clear to Score</v>
      </c>
      <c r="U43" s="13"/>
      <c r="V43" s="13"/>
      <c r="W43" s="14" t="str">
        <f t="shared" si="29"/>
        <v/>
      </c>
      <c r="X43" s="13"/>
      <c r="Y43" s="14" t="str">
        <f t="shared" si="30"/>
        <v/>
      </c>
      <c r="Z43" s="13"/>
      <c r="AA43" s="14" t="str">
        <f t="shared" si="31"/>
        <v/>
      </c>
      <c r="AB43" s="13"/>
      <c r="AC43" s="14" t="str">
        <f t="shared" si="32"/>
        <v/>
      </c>
      <c r="AD43" s="13"/>
      <c r="AE43" s="14">
        <f t="shared" si="33"/>
        <v>0</v>
      </c>
      <c r="AF43" s="14">
        <f t="shared" si="34"/>
        <v>0</v>
      </c>
      <c r="AG43" s="13"/>
      <c r="AH43" s="14" t="str">
        <f t="shared" si="35"/>
        <v/>
      </c>
      <c r="AI43" s="13"/>
      <c r="AJ43" s="14" t="str">
        <f t="shared" si="36"/>
        <v/>
      </c>
      <c r="AK43" s="13"/>
      <c r="AL43" s="14" t="str">
        <f t="shared" si="37"/>
        <v/>
      </c>
      <c r="AM43" s="13"/>
      <c r="AN43" s="14" t="str">
        <f t="shared" si="38"/>
        <v/>
      </c>
      <c r="AO43" s="13"/>
      <c r="AP43" s="14" t="str">
        <f t="shared" si="39"/>
        <v/>
      </c>
      <c r="AQ43" s="13"/>
      <c r="AR43" s="14">
        <f t="shared" si="40"/>
        <v>0</v>
      </c>
      <c r="AS43" s="13"/>
      <c r="AT43" s="14">
        <f t="shared" si="41"/>
        <v>0</v>
      </c>
      <c r="AU43" s="14">
        <f t="shared" si="42"/>
        <v>0</v>
      </c>
      <c r="AV43" s="13"/>
      <c r="AW43" s="14" t="str">
        <f t="shared" si="43"/>
        <v/>
      </c>
      <c r="AX43" s="13"/>
      <c r="AY43" s="14" t="str">
        <f t="shared" si="44"/>
        <v/>
      </c>
      <c r="AZ43" s="13"/>
      <c r="BA43" s="14" t="str">
        <f t="shared" si="45"/>
        <v/>
      </c>
      <c r="BB43" s="13"/>
      <c r="BC43" s="14">
        <f t="shared" si="46"/>
        <v>0</v>
      </c>
      <c r="BD43" s="14">
        <f t="shared" si="47"/>
        <v>0</v>
      </c>
      <c r="BE43" s="13"/>
      <c r="BF43" s="14" t="str">
        <f t="shared" si="48"/>
        <v/>
      </c>
      <c r="BG43" s="13"/>
      <c r="BH43" s="14" t="str">
        <f t="shared" si="49"/>
        <v/>
      </c>
      <c r="BI43" s="14">
        <f t="shared" si="50"/>
        <v>0</v>
      </c>
      <c r="BJ43" s="14">
        <f t="shared" si="51"/>
        <v>0</v>
      </c>
      <c r="BK43" s="14" t="str">
        <f t="shared" si="52"/>
        <v>LOW RISK</v>
      </c>
      <c r="BL43" s="14" t="str">
        <f t="shared" si="53"/>
        <v/>
      </c>
      <c r="BM43" s="13"/>
      <c r="BN43" s="12"/>
      <c r="BO43" s="13"/>
      <c r="BP43" s="13"/>
      <c r="BQ43" s="13"/>
      <c r="BR43" s="13"/>
      <c r="BS43" s="13"/>
      <c r="BT43" s="13"/>
      <c r="BU43" s="14" t="str">
        <f t="shared" si="54"/>
        <v/>
      </c>
      <c r="BV43" s="13"/>
      <c r="BW43" s="13"/>
      <c r="BX43" s="13"/>
      <c r="BY43" s="13"/>
      <c r="BZ43" s="13"/>
      <c r="CA43" s="13"/>
      <c r="CB43" s="13"/>
      <c r="CC43" s="14" t="str">
        <f t="shared" si="55"/>
        <v/>
      </c>
      <c r="CD43" s="13"/>
      <c r="CE43" s="13"/>
      <c r="CF43" s="12"/>
      <c r="CG43" s="13"/>
      <c r="CH43" s="13"/>
      <c r="CI43" s="13"/>
      <c r="CJ43" s="13"/>
      <c r="CK43" s="13"/>
      <c r="CL43" s="12"/>
      <c r="CM43" s="13"/>
      <c r="CN43" s="13"/>
      <c r="CO43" s="13"/>
      <c r="CP43" s="12"/>
    </row>
    <row r="44" spans="1:94" x14ac:dyDescent="0.2">
      <c r="A44" s="12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4" t="str">
        <f t="shared" si="28"/>
        <v>✓ Clear to Score</v>
      </c>
      <c r="U44" s="13"/>
      <c r="V44" s="13"/>
      <c r="W44" s="14" t="str">
        <f t="shared" si="29"/>
        <v/>
      </c>
      <c r="X44" s="13"/>
      <c r="Y44" s="14" t="str">
        <f t="shared" si="30"/>
        <v/>
      </c>
      <c r="Z44" s="13"/>
      <c r="AA44" s="14" t="str">
        <f t="shared" si="31"/>
        <v/>
      </c>
      <c r="AB44" s="13"/>
      <c r="AC44" s="14" t="str">
        <f t="shared" si="32"/>
        <v/>
      </c>
      <c r="AD44" s="13"/>
      <c r="AE44" s="14">
        <f t="shared" si="33"/>
        <v>0</v>
      </c>
      <c r="AF44" s="14">
        <f t="shared" si="34"/>
        <v>0</v>
      </c>
      <c r="AG44" s="13"/>
      <c r="AH44" s="14" t="str">
        <f t="shared" si="35"/>
        <v/>
      </c>
      <c r="AI44" s="13"/>
      <c r="AJ44" s="14" t="str">
        <f t="shared" si="36"/>
        <v/>
      </c>
      <c r="AK44" s="13"/>
      <c r="AL44" s="14" t="str">
        <f t="shared" si="37"/>
        <v/>
      </c>
      <c r="AM44" s="13"/>
      <c r="AN44" s="14" t="str">
        <f t="shared" si="38"/>
        <v/>
      </c>
      <c r="AO44" s="13"/>
      <c r="AP44" s="14" t="str">
        <f t="shared" si="39"/>
        <v/>
      </c>
      <c r="AQ44" s="13"/>
      <c r="AR44" s="14">
        <f t="shared" si="40"/>
        <v>0</v>
      </c>
      <c r="AS44" s="13"/>
      <c r="AT44" s="14">
        <f t="shared" si="41"/>
        <v>0</v>
      </c>
      <c r="AU44" s="14">
        <f t="shared" si="42"/>
        <v>0</v>
      </c>
      <c r="AV44" s="13"/>
      <c r="AW44" s="14" t="str">
        <f t="shared" si="43"/>
        <v/>
      </c>
      <c r="AX44" s="13"/>
      <c r="AY44" s="14" t="str">
        <f t="shared" si="44"/>
        <v/>
      </c>
      <c r="AZ44" s="13"/>
      <c r="BA44" s="14" t="str">
        <f t="shared" si="45"/>
        <v/>
      </c>
      <c r="BB44" s="13"/>
      <c r="BC44" s="14">
        <f t="shared" si="46"/>
        <v>0</v>
      </c>
      <c r="BD44" s="14">
        <f t="shared" si="47"/>
        <v>0</v>
      </c>
      <c r="BE44" s="13"/>
      <c r="BF44" s="14" t="str">
        <f t="shared" si="48"/>
        <v/>
      </c>
      <c r="BG44" s="13"/>
      <c r="BH44" s="14" t="str">
        <f t="shared" si="49"/>
        <v/>
      </c>
      <c r="BI44" s="14">
        <f t="shared" si="50"/>
        <v>0</v>
      </c>
      <c r="BJ44" s="14">
        <f t="shared" si="51"/>
        <v>0</v>
      </c>
      <c r="BK44" s="14" t="str">
        <f t="shared" si="52"/>
        <v>LOW RISK</v>
      </c>
      <c r="BL44" s="14" t="str">
        <f t="shared" si="53"/>
        <v/>
      </c>
      <c r="BM44" s="13"/>
      <c r="BN44" s="12"/>
      <c r="BO44" s="13"/>
      <c r="BP44" s="13"/>
      <c r="BQ44" s="13"/>
      <c r="BR44" s="13"/>
      <c r="BS44" s="13"/>
      <c r="BT44" s="13"/>
      <c r="BU44" s="14" t="str">
        <f t="shared" si="54"/>
        <v/>
      </c>
      <c r="BV44" s="13"/>
      <c r="BW44" s="13"/>
      <c r="BX44" s="13"/>
      <c r="BY44" s="13"/>
      <c r="BZ44" s="13"/>
      <c r="CA44" s="13"/>
      <c r="CB44" s="13"/>
      <c r="CC44" s="14" t="str">
        <f t="shared" si="55"/>
        <v/>
      </c>
      <c r="CD44" s="13"/>
      <c r="CE44" s="13"/>
      <c r="CF44" s="12"/>
      <c r="CG44" s="13"/>
      <c r="CH44" s="13"/>
      <c r="CI44" s="13"/>
      <c r="CJ44" s="13"/>
      <c r="CK44" s="13"/>
      <c r="CL44" s="12"/>
      <c r="CM44" s="13"/>
      <c r="CN44" s="13"/>
      <c r="CO44" s="13"/>
      <c r="CP44" s="12"/>
    </row>
    <row r="45" spans="1:94" x14ac:dyDescent="0.2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4" t="str">
        <f t="shared" si="28"/>
        <v>✓ Clear to Score</v>
      </c>
      <c r="U45" s="13"/>
      <c r="V45" s="13"/>
      <c r="W45" s="14" t="str">
        <f t="shared" si="29"/>
        <v/>
      </c>
      <c r="X45" s="13"/>
      <c r="Y45" s="14" t="str">
        <f t="shared" si="30"/>
        <v/>
      </c>
      <c r="Z45" s="13"/>
      <c r="AA45" s="14" t="str">
        <f t="shared" si="31"/>
        <v/>
      </c>
      <c r="AB45" s="13"/>
      <c r="AC45" s="14" t="str">
        <f t="shared" si="32"/>
        <v/>
      </c>
      <c r="AD45" s="13"/>
      <c r="AE45" s="14">
        <f t="shared" si="33"/>
        <v>0</v>
      </c>
      <c r="AF45" s="14">
        <f t="shared" si="34"/>
        <v>0</v>
      </c>
      <c r="AG45" s="13"/>
      <c r="AH45" s="14" t="str">
        <f t="shared" si="35"/>
        <v/>
      </c>
      <c r="AI45" s="13"/>
      <c r="AJ45" s="14" t="str">
        <f t="shared" si="36"/>
        <v/>
      </c>
      <c r="AK45" s="13"/>
      <c r="AL45" s="14" t="str">
        <f t="shared" si="37"/>
        <v/>
      </c>
      <c r="AM45" s="13"/>
      <c r="AN45" s="14" t="str">
        <f t="shared" si="38"/>
        <v/>
      </c>
      <c r="AO45" s="13"/>
      <c r="AP45" s="14" t="str">
        <f t="shared" si="39"/>
        <v/>
      </c>
      <c r="AQ45" s="13"/>
      <c r="AR45" s="14">
        <f t="shared" si="40"/>
        <v>0</v>
      </c>
      <c r="AS45" s="13"/>
      <c r="AT45" s="14">
        <f t="shared" si="41"/>
        <v>0</v>
      </c>
      <c r="AU45" s="14">
        <f t="shared" si="42"/>
        <v>0</v>
      </c>
      <c r="AV45" s="13"/>
      <c r="AW45" s="14" t="str">
        <f t="shared" si="43"/>
        <v/>
      </c>
      <c r="AX45" s="13"/>
      <c r="AY45" s="14" t="str">
        <f t="shared" si="44"/>
        <v/>
      </c>
      <c r="AZ45" s="13"/>
      <c r="BA45" s="14" t="str">
        <f t="shared" si="45"/>
        <v/>
      </c>
      <c r="BB45" s="13"/>
      <c r="BC45" s="14">
        <f t="shared" si="46"/>
        <v>0</v>
      </c>
      <c r="BD45" s="14">
        <f t="shared" si="47"/>
        <v>0</v>
      </c>
      <c r="BE45" s="13"/>
      <c r="BF45" s="14" t="str">
        <f t="shared" si="48"/>
        <v/>
      </c>
      <c r="BG45" s="13"/>
      <c r="BH45" s="14" t="str">
        <f t="shared" si="49"/>
        <v/>
      </c>
      <c r="BI45" s="14">
        <f t="shared" si="50"/>
        <v>0</v>
      </c>
      <c r="BJ45" s="14">
        <f t="shared" si="51"/>
        <v>0</v>
      </c>
      <c r="BK45" s="14" t="str">
        <f t="shared" si="52"/>
        <v>LOW RISK</v>
      </c>
      <c r="BL45" s="14" t="str">
        <f t="shared" si="53"/>
        <v/>
      </c>
      <c r="BM45" s="13"/>
      <c r="BN45" s="12"/>
      <c r="BO45" s="13"/>
      <c r="BP45" s="13"/>
      <c r="BQ45" s="13"/>
      <c r="BR45" s="13"/>
      <c r="BS45" s="13"/>
      <c r="BT45" s="13"/>
      <c r="BU45" s="14" t="str">
        <f t="shared" si="54"/>
        <v/>
      </c>
      <c r="BV45" s="13"/>
      <c r="BW45" s="13"/>
      <c r="BX45" s="13"/>
      <c r="BY45" s="13"/>
      <c r="BZ45" s="13"/>
      <c r="CA45" s="13"/>
      <c r="CB45" s="13"/>
      <c r="CC45" s="14" t="str">
        <f t="shared" si="55"/>
        <v/>
      </c>
      <c r="CD45" s="13"/>
      <c r="CE45" s="13"/>
      <c r="CF45" s="12"/>
      <c r="CG45" s="13"/>
      <c r="CH45" s="13"/>
      <c r="CI45" s="13"/>
      <c r="CJ45" s="13"/>
      <c r="CK45" s="13"/>
      <c r="CL45" s="12"/>
      <c r="CM45" s="13"/>
      <c r="CN45" s="13"/>
      <c r="CO45" s="13"/>
      <c r="CP45" s="12"/>
    </row>
    <row r="46" spans="1:94" x14ac:dyDescent="0.2">
      <c r="A46" s="12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4" t="str">
        <f t="shared" si="28"/>
        <v>✓ Clear to Score</v>
      </c>
      <c r="U46" s="13"/>
      <c r="V46" s="13"/>
      <c r="W46" s="14" t="str">
        <f t="shared" si="29"/>
        <v/>
      </c>
      <c r="X46" s="13"/>
      <c r="Y46" s="14" t="str">
        <f t="shared" si="30"/>
        <v/>
      </c>
      <c r="Z46" s="13"/>
      <c r="AA46" s="14" t="str">
        <f t="shared" si="31"/>
        <v/>
      </c>
      <c r="AB46" s="13"/>
      <c r="AC46" s="14" t="str">
        <f t="shared" si="32"/>
        <v/>
      </c>
      <c r="AD46" s="13"/>
      <c r="AE46" s="14">
        <f t="shared" si="33"/>
        <v>0</v>
      </c>
      <c r="AF46" s="14">
        <f t="shared" si="34"/>
        <v>0</v>
      </c>
      <c r="AG46" s="13"/>
      <c r="AH46" s="14" t="str">
        <f t="shared" si="35"/>
        <v/>
      </c>
      <c r="AI46" s="13"/>
      <c r="AJ46" s="14" t="str">
        <f t="shared" si="36"/>
        <v/>
      </c>
      <c r="AK46" s="13"/>
      <c r="AL46" s="14" t="str">
        <f t="shared" si="37"/>
        <v/>
      </c>
      <c r="AM46" s="13"/>
      <c r="AN46" s="14" t="str">
        <f t="shared" si="38"/>
        <v/>
      </c>
      <c r="AO46" s="13"/>
      <c r="AP46" s="14" t="str">
        <f t="shared" si="39"/>
        <v/>
      </c>
      <c r="AQ46" s="13"/>
      <c r="AR46" s="14">
        <f t="shared" si="40"/>
        <v>0</v>
      </c>
      <c r="AS46" s="13"/>
      <c r="AT46" s="14">
        <f t="shared" si="41"/>
        <v>0</v>
      </c>
      <c r="AU46" s="14">
        <f t="shared" si="42"/>
        <v>0</v>
      </c>
      <c r="AV46" s="13"/>
      <c r="AW46" s="14" t="str">
        <f t="shared" si="43"/>
        <v/>
      </c>
      <c r="AX46" s="13"/>
      <c r="AY46" s="14" t="str">
        <f t="shared" si="44"/>
        <v/>
      </c>
      <c r="AZ46" s="13"/>
      <c r="BA46" s="14" t="str">
        <f t="shared" si="45"/>
        <v/>
      </c>
      <c r="BB46" s="13"/>
      <c r="BC46" s="14">
        <f t="shared" si="46"/>
        <v>0</v>
      </c>
      <c r="BD46" s="14">
        <f t="shared" si="47"/>
        <v>0</v>
      </c>
      <c r="BE46" s="13"/>
      <c r="BF46" s="14" t="str">
        <f t="shared" si="48"/>
        <v/>
      </c>
      <c r="BG46" s="13"/>
      <c r="BH46" s="14" t="str">
        <f t="shared" si="49"/>
        <v/>
      </c>
      <c r="BI46" s="14">
        <f t="shared" si="50"/>
        <v>0</v>
      </c>
      <c r="BJ46" s="14">
        <f t="shared" si="51"/>
        <v>0</v>
      </c>
      <c r="BK46" s="14" t="str">
        <f t="shared" si="52"/>
        <v>LOW RISK</v>
      </c>
      <c r="BL46" s="14" t="str">
        <f t="shared" si="53"/>
        <v/>
      </c>
      <c r="BM46" s="13"/>
      <c r="BN46" s="12"/>
      <c r="BO46" s="13"/>
      <c r="BP46" s="13"/>
      <c r="BQ46" s="13"/>
      <c r="BR46" s="13"/>
      <c r="BS46" s="13"/>
      <c r="BT46" s="13"/>
      <c r="BU46" s="14" t="str">
        <f t="shared" si="54"/>
        <v/>
      </c>
      <c r="BV46" s="13"/>
      <c r="BW46" s="13"/>
      <c r="BX46" s="13"/>
      <c r="BY46" s="13"/>
      <c r="BZ46" s="13"/>
      <c r="CA46" s="13"/>
      <c r="CB46" s="13"/>
      <c r="CC46" s="14" t="str">
        <f t="shared" si="55"/>
        <v/>
      </c>
      <c r="CD46" s="13"/>
      <c r="CE46" s="13"/>
      <c r="CF46" s="12"/>
      <c r="CG46" s="13"/>
      <c r="CH46" s="13"/>
      <c r="CI46" s="13"/>
      <c r="CJ46" s="13"/>
      <c r="CK46" s="13"/>
      <c r="CL46" s="12"/>
      <c r="CM46" s="13"/>
      <c r="CN46" s="13"/>
      <c r="CO46" s="13"/>
      <c r="CP46" s="12"/>
    </row>
    <row r="47" spans="1:94" x14ac:dyDescent="0.2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4" t="str">
        <f t="shared" si="28"/>
        <v>✓ Clear to Score</v>
      </c>
      <c r="U47" s="13"/>
      <c r="V47" s="13"/>
      <c r="W47" s="14" t="str">
        <f t="shared" si="29"/>
        <v/>
      </c>
      <c r="X47" s="13"/>
      <c r="Y47" s="14" t="str">
        <f t="shared" si="30"/>
        <v/>
      </c>
      <c r="Z47" s="13"/>
      <c r="AA47" s="14" t="str">
        <f t="shared" si="31"/>
        <v/>
      </c>
      <c r="AB47" s="13"/>
      <c r="AC47" s="14" t="str">
        <f t="shared" si="32"/>
        <v/>
      </c>
      <c r="AD47" s="13"/>
      <c r="AE47" s="14">
        <f t="shared" si="33"/>
        <v>0</v>
      </c>
      <c r="AF47" s="14">
        <f t="shared" si="34"/>
        <v>0</v>
      </c>
      <c r="AG47" s="13"/>
      <c r="AH47" s="14" t="str">
        <f t="shared" si="35"/>
        <v/>
      </c>
      <c r="AI47" s="13"/>
      <c r="AJ47" s="14" t="str">
        <f t="shared" si="36"/>
        <v/>
      </c>
      <c r="AK47" s="13"/>
      <c r="AL47" s="14" t="str">
        <f t="shared" si="37"/>
        <v/>
      </c>
      <c r="AM47" s="13"/>
      <c r="AN47" s="14" t="str">
        <f t="shared" si="38"/>
        <v/>
      </c>
      <c r="AO47" s="13"/>
      <c r="AP47" s="14" t="str">
        <f t="shared" si="39"/>
        <v/>
      </c>
      <c r="AQ47" s="13"/>
      <c r="AR47" s="14">
        <f t="shared" si="40"/>
        <v>0</v>
      </c>
      <c r="AS47" s="13"/>
      <c r="AT47" s="14">
        <f t="shared" si="41"/>
        <v>0</v>
      </c>
      <c r="AU47" s="14">
        <f t="shared" si="42"/>
        <v>0</v>
      </c>
      <c r="AV47" s="13"/>
      <c r="AW47" s="14" t="str">
        <f t="shared" si="43"/>
        <v/>
      </c>
      <c r="AX47" s="13"/>
      <c r="AY47" s="14" t="str">
        <f t="shared" si="44"/>
        <v/>
      </c>
      <c r="AZ47" s="13"/>
      <c r="BA47" s="14" t="str">
        <f t="shared" si="45"/>
        <v/>
      </c>
      <c r="BB47" s="13"/>
      <c r="BC47" s="14">
        <f t="shared" si="46"/>
        <v>0</v>
      </c>
      <c r="BD47" s="14">
        <f t="shared" si="47"/>
        <v>0</v>
      </c>
      <c r="BE47" s="13"/>
      <c r="BF47" s="14" t="str">
        <f t="shared" si="48"/>
        <v/>
      </c>
      <c r="BG47" s="13"/>
      <c r="BH47" s="14" t="str">
        <f t="shared" si="49"/>
        <v/>
      </c>
      <c r="BI47" s="14">
        <f t="shared" si="50"/>
        <v>0</v>
      </c>
      <c r="BJ47" s="14">
        <f t="shared" si="51"/>
        <v>0</v>
      </c>
      <c r="BK47" s="14" t="str">
        <f t="shared" si="52"/>
        <v>LOW RISK</v>
      </c>
      <c r="BL47" s="14" t="str">
        <f t="shared" si="53"/>
        <v/>
      </c>
      <c r="BM47" s="13"/>
      <c r="BN47" s="12"/>
      <c r="BO47" s="13"/>
      <c r="BP47" s="13"/>
      <c r="BQ47" s="13"/>
      <c r="BR47" s="13"/>
      <c r="BS47" s="13"/>
      <c r="BT47" s="13"/>
      <c r="BU47" s="14" t="str">
        <f t="shared" si="54"/>
        <v/>
      </c>
      <c r="BV47" s="13"/>
      <c r="BW47" s="13"/>
      <c r="BX47" s="13"/>
      <c r="BY47" s="13"/>
      <c r="BZ47" s="13"/>
      <c r="CA47" s="13"/>
      <c r="CB47" s="13"/>
      <c r="CC47" s="14" t="str">
        <f t="shared" si="55"/>
        <v/>
      </c>
      <c r="CD47" s="13"/>
      <c r="CE47" s="13"/>
      <c r="CF47" s="12"/>
      <c r="CG47" s="13"/>
      <c r="CH47" s="13"/>
      <c r="CI47" s="13"/>
      <c r="CJ47" s="13"/>
      <c r="CK47" s="13"/>
      <c r="CL47" s="12"/>
      <c r="CM47" s="13"/>
      <c r="CN47" s="13"/>
      <c r="CO47" s="13"/>
      <c r="CP47" s="12"/>
    </row>
    <row r="48" spans="1:94" x14ac:dyDescent="0.2">
      <c r="A48" s="12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4" t="str">
        <f t="shared" si="28"/>
        <v>✓ Clear to Score</v>
      </c>
      <c r="U48" s="13"/>
      <c r="V48" s="13"/>
      <c r="W48" s="14" t="str">
        <f t="shared" si="29"/>
        <v/>
      </c>
      <c r="X48" s="13"/>
      <c r="Y48" s="14" t="str">
        <f t="shared" si="30"/>
        <v/>
      </c>
      <c r="Z48" s="13"/>
      <c r="AA48" s="14" t="str">
        <f t="shared" si="31"/>
        <v/>
      </c>
      <c r="AB48" s="13"/>
      <c r="AC48" s="14" t="str">
        <f t="shared" si="32"/>
        <v/>
      </c>
      <c r="AD48" s="13"/>
      <c r="AE48" s="14">
        <f t="shared" si="33"/>
        <v>0</v>
      </c>
      <c r="AF48" s="14">
        <f t="shared" si="34"/>
        <v>0</v>
      </c>
      <c r="AG48" s="13"/>
      <c r="AH48" s="14" t="str">
        <f t="shared" si="35"/>
        <v/>
      </c>
      <c r="AI48" s="13"/>
      <c r="AJ48" s="14" t="str">
        <f t="shared" si="36"/>
        <v/>
      </c>
      <c r="AK48" s="13"/>
      <c r="AL48" s="14" t="str">
        <f t="shared" si="37"/>
        <v/>
      </c>
      <c r="AM48" s="13"/>
      <c r="AN48" s="14" t="str">
        <f t="shared" si="38"/>
        <v/>
      </c>
      <c r="AO48" s="13"/>
      <c r="AP48" s="14" t="str">
        <f t="shared" si="39"/>
        <v/>
      </c>
      <c r="AQ48" s="13"/>
      <c r="AR48" s="14">
        <f t="shared" si="40"/>
        <v>0</v>
      </c>
      <c r="AS48" s="13"/>
      <c r="AT48" s="14">
        <f t="shared" si="41"/>
        <v>0</v>
      </c>
      <c r="AU48" s="14">
        <f t="shared" si="42"/>
        <v>0</v>
      </c>
      <c r="AV48" s="13"/>
      <c r="AW48" s="14" t="str">
        <f t="shared" si="43"/>
        <v/>
      </c>
      <c r="AX48" s="13"/>
      <c r="AY48" s="14" t="str">
        <f t="shared" si="44"/>
        <v/>
      </c>
      <c r="AZ48" s="13"/>
      <c r="BA48" s="14" t="str">
        <f t="shared" si="45"/>
        <v/>
      </c>
      <c r="BB48" s="13"/>
      <c r="BC48" s="14">
        <f t="shared" si="46"/>
        <v>0</v>
      </c>
      <c r="BD48" s="14">
        <f t="shared" si="47"/>
        <v>0</v>
      </c>
      <c r="BE48" s="13"/>
      <c r="BF48" s="14" t="str">
        <f t="shared" si="48"/>
        <v/>
      </c>
      <c r="BG48" s="13"/>
      <c r="BH48" s="14" t="str">
        <f t="shared" si="49"/>
        <v/>
      </c>
      <c r="BI48" s="14">
        <f t="shared" si="50"/>
        <v>0</v>
      </c>
      <c r="BJ48" s="14">
        <f t="shared" si="51"/>
        <v>0</v>
      </c>
      <c r="BK48" s="14" t="str">
        <f t="shared" si="52"/>
        <v>LOW RISK</v>
      </c>
      <c r="BL48" s="14" t="str">
        <f t="shared" si="53"/>
        <v/>
      </c>
      <c r="BM48" s="13"/>
      <c r="BN48" s="12"/>
      <c r="BO48" s="13"/>
      <c r="BP48" s="13"/>
      <c r="BQ48" s="13"/>
      <c r="BR48" s="13"/>
      <c r="BS48" s="13"/>
      <c r="BT48" s="13"/>
      <c r="BU48" s="14" t="str">
        <f t="shared" si="54"/>
        <v/>
      </c>
      <c r="BV48" s="13"/>
      <c r="BW48" s="13"/>
      <c r="BX48" s="13"/>
      <c r="BY48" s="13"/>
      <c r="BZ48" s="13"/>
      <c r="CA48" s="13"/>
      <c r="CB48" s="13"/>
      <c r="CC48" s="14" t="str">
        <f t="shared" si="55"/>
        <v/>
      </c>
      <c r="CD48" s="13"/>
      <c r="CE48" s="13"/>
      <c r="CF48" s="12"/>
      <c r="CG48" s="13"/>
      <c r="CH48" s="13"/>
      <c r="CI48" s="13"/>
      <c r="CJ48" s="13"/>
      <c r="CK48" s="13"/>
      <c r="CL48" s="12"/>
      <c r="CM48" s="13"/>
      <c r="CN48" s="13"/>
      <c r="CO48" s="13"/>
      <c r="CP48" s="12"/>
    </row>
    <row r="49" spans="1:94" x14ac:dyDescent="0.2">
      <c r="A49" s="12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4" t="str">
        <f t="shared" si="28"/>
        <v>✓ Clear to Score</v>
      </c>
      <c r="U49" s="13"/>
      <c r="V49" s="13"/>
      <c r="W49" s="14" t="str">
        <f t="shared" si="29"/>
        <v/>
      </c>
      <c r="X49" s="13"/>
      <c r="Y49" s="14" t="str">
        <f t="shared" si="30"/>
        <v/>
      </c>
      <c r="Z49" s="13"/>
      <c r="AA49" s="14" t="str">
        <f t="shared" si="31"/>
        <v/>
      </c>
      <c r="AB49" s="13"/>
      <c r="AC49" s="14" t="str">
        <f t="shared" si="32"/>
        <v/>
      </c>
      <c r="AD49" s="13"/>
      <c r="AE49" s="14">
        <f t="shared" si="33"/>
        <v>0</v>
      </c>
      <c r="AF49" s="14">
        <f t="shared" si="34"/>
        <v>0</v>
      </c>
      <c r="AG49" s="13"/>
      <c r="AH49" s="14" t="str">
        <f t="shared" si="35"/>
        <v/>
      </c>
      <c r="AI49" s="13"/>
      <c r="AJ49" s="14" t="str">
        <f t="shared" si="36"/>
        <v/>
      </c>
      <c r="AK49" s="13"/>
      <c r="AL49" s="14" t="str">
        <f t="shared" si="37"/>
        <v/>
      </c>
      <c r="AM49" s="13"/>
      <c r="AN49" s="14" t="str">
        <f t="shared" si="38"/>
        <v/>
      </c>
      <c r="AO49" s="13"/>
      <c r="AP49" s="14" t="str">
        <f t="shared" si="39"/>
        <v/>
      </c>
      <c r="AQ49" s="13"/>
      <c r="AR49" s="14">
        <f t="shared" si="40"/>
        <v>0</v>
      </c>
      <c r="AS49" s="13"/>
      <c r="AT49" s="14">
        <f t="shared" si="41"/>
        <v>0</v>
      </c>
      <c r="AU49" s="14">
        <f t="shared" si="42"/>
        <v>0</v>
      </c>
      <c r="AV49" s="13"/>
      <c r="AW49" s="14" t="str">
        <f t="shared" si="43"/>
        <v/>
      </c>
      <c r="AX49" s="13"/>
      <c r="AY49" s="14" t="str">
        <f t="shared" si="44"/>
        <v/>
      </c>
      <c r="AZ49" s="13"/>
      <c r="BA49" s="14" t="str">
        <f t="shared" si="45"/>
        <v/>
      </c>
      <c r="BB49" s="13"/>
      <c r="BC49" s="14">
        <f t="shared" si="46"/>
        <v>0</v>
      </c>
      <c r="BD49" s="14">
        <f t="shared" si="47"/>
        <v>0</v>
      </c>
      <c r="BE49" s="13"/>
      <c r="BF49" s="14" t="str">
        <f t="shared" si="48"/>
        <v/>
      </c>
      <c r="BG49" s="13"/>
      <c r="BH49" s="14" t="str">
        <f t="shared" si="49"/>
        <v/>
      </c>
      <c r="BI49" s="14">
        <f t="shared" si="50"/>
        <v>0</v>
      </c>
      <c r="BJ49" s="14">
        <f t="shared" si="51"/>
        <v>0</v>
      </c>
      <c r="BK49" s="14" t="str">
        <f t="shared" si="52"/>
        <v>LOW RISK</v>
      </c>
      <c r="BL49" s="14" t="str">
        <f t="shared" si="53"/>
        <v/>
      </c>
      <c r="BM49" s="13"/>
      <c r="BN49" s="12"/>
      <c r="BO49" s="13"/>
      <c r="BP49" s="13"/>
      <c r="BQ49" s="13"/>
      <c r="BR49" s="13"/>
      <c r="BS49" s="13"/>
      <c r="BT49" s="13"/>
      <c r="BU49" s="14" t="str">
        <f t="shared" si="54"/>
        <v/>
      </c>
      <c r="BV49" s="13"/>
      <c r="BW49" s="13"/>
      <c r="BX49" s="13"/>
      <c r="BY49" s="13"/>
      <c r="BZ49" s="13"/>
      <c r="CA49" s="13"/>
      <c r="CB49" s="13"/>
      <c r="CC49" s="14" t="str">
        <f t="shared" si="55"/>
        <v/>
      </c>
      <c r="CD49" s="13"/>
      <c r="CE49" s="13"/>
      <c r="CF49" s="12"/>
      <c r="CG49" s="13"/>
      <c r="CH49" s="13"/>
      <c r="CI49" s="13"/>
      <c r="CJ49" s="13"/>
      <c r="CK49" s="13"/>
      <c r="CL49" s="12"/>
      <c r="CM49" s="13"/>
      <c r="CN49" s="13"/>
      <c r="CO49" s="13"/>
      <c r="CP49" s="12"/>
    </row>
    <row r="50" spans="1:94" x14ac:dyDescent="0.2">
      <c r="A50" s="12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 t="str">
        <f t="shared" si="28"/>
        <v>✓ Clear to Score</v>
      </c>
      <c r="U50" s="13"/>
      <c r="V50" s="13"/>
      <c r="W50" s="14" t="str">
        <f t="shared" si="29"/>
        <v/>
      </c>
      <c r="X50" s="13"/>
      <c r="Y50" s="14" t="str">
        <f t="shared" si="30"/>
        <v/>
      </c>
      <c r="Z50" s="13"/>
      <c r="AA50" s="14" t="str">
        <f t="shared" si="31"/>
        <v/>
      </c>
      <c r="AB50" s="13"/>
      <c r="AC50" s="14" t="str">
        <f t="shared" si="32"/>
        <v/>
      </c>
      <c r="AD50" s="13"/>
      <c r="AE50" s="14">
        <f t="shared" si="33"/>
        <v>0</v>
      </c>
      <c r="AF50" s="14">
        <f t="shared" si="34"/>
        <v>0</v>
      </c>
      <c r="AG50" s="13"/>
      <c r="AH50" s="14" t="str">
        <f t="shared" si="35"/>
        <v/>
      </c>
      <c r="AI50" s="13"/>
      <c r="AJ50" s="14" t="str">
        <f t="shared" si="36"/>
        <v/>
      </c>
      <c r="AK50" s="13"/>
      <c r="AL50" s="14" t="str">
        <f t="shared" si="37"/>
        <v/>
      </c>
      <c r="AM50" s="13"/>
      <c r="AN50" s="14" t="str">
        <f t="shared" si="38"/>
        <v/>
      </c>
      <c r="AO50" s="13"/>
      <c r="AP50" s="14" t="str">
        <f t="shared" si="39"/>
        <v/>
      </c>
      <c r="AQ50" s="13"/>
      <c r="AR50" s="14">
        <f t="shared" si="40"/>
        <v>0</v>
      </c>
      <c r="AS50" s="13"/>
      <c r="AT50" s="14">
        <f t="shared" si="41"/>
        <v>0</v>
      </c>
      <c r="AU50" s="14">
        <f t="shared" si="42"/>
        <v>0</v>
      </c>
      <c r="AV50" s="13"/>
      <c r="AW50" s="14" t="str">
        <f t="shared" si="43"/>
        <v/>
      </c>
      <c r="AX50" s="13"/>
      <c r="AY50" s="14" t="str">
        <f t="shared" si="44"/>
        <v/>
      </c>
      <c r="AZ50" s="13"/>
      <c r="BA50" s="14" t="str">
        <f t="shared" si="45"/>
        <v/>
      </c>
      <c r="BB50" s="13"/>
      <c r="BC50" s="14">
        <f t="shared" si="46"/>
        <v>0</v>
      </c>
      <c r="BD50" s="14">
        <f t="shared" si="47"/>
        <v>0</v>
      </c>
      <c r="BE50" s="13"/>
      <c r="BF50" s="14" t="str">
        <f t="shared" si="48"/>
        <v/>
      </c>
      <c r="BG50" s="13"/>
      <c r="BH50" s="14" t="str">
        <f t="shared" si="49"/>
        <v/>
      </c>
      <c r="BI50" s="14">
        <f t="shared" si="50"/>
        <v>0</v>
      </c>
      <c r="BJ50" s="14">
        <f t="shared" si="51"/>
        <v>0</v>
      </c>
      <c r="BK50" s="14" t="str">
        <f t="shared" si="52"/>
        <v>LOW RISK</v>
      </c>
      <c r="BL50" s="14" t="str">
        <f t="shared" si="53"/>
        <v/>
      </c>
      <c r="BM50" s="13"/>
      <c r="BN50" s="12"/>
      <c r="BO50" s="13"/>
      <c r="BP50" s="13"/>
      <c r="BQ50" s="13"/>
      <c r="BR50" s="13"/>
      <c r="BS50" s="13"/>
      <c r="BT50" s="13"/>
      <c r="BU50" s="14" t="str">
        <f t="shared" si="54"/>
        <v/>
      </c>
      <c r="BV50" s="13"/>
      <c r="BW50" s="13"/>
      <c r="BX50" s="13"/>
      <c r="BY50" s="13"/>
      <c r="BZ50" s="13"/>
      <c r="CA50" s="13"/>
      <c r="CB50" s="13"/>
      <c r="CC50" s="14" t="str">
        <f t="shared" si="55"/>
        <v/>
      </c>
      <c r="CD50" s="13"/>
      <c r="CE50" s="13"/>
      <c r="CF50" s="12"/>
      <c r="CG50" s="13"/>
      <c r="CH50" s="13"/>
      <c r="CI50" s="13"/>
      <c r="CJ50" s="13"/>
      <c r="CK50" s="13"/>
      <c r="CL50" s="12"/>
      <c r="CM50" s="13"/>
      <c r="CN50" s="13"/>
      <c r="CO50" s="13"/>
      <c r="CP50" s="12"/>
    </row>
    <row r="51" spans="1:94" x14ac:dyDescent="0.2">
      <c r="A51" s="12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4" t="str">
        <f t="shared" si="28"/>
        <v>✓ Clear to Score</v>
      </c>
      <c r="U51" s="13"/>
      <c r="V51" s="13"/>
      <c r="W51" s="14" t="str">
        <f t="shared" si="29"/>
        <v/>
      </c>
      <c r="X51" s="13"/>
      <c r="Y51" s="14" t="str">
        <f t="shared" si="30"/>
        <v/>
      </c>
      <c r="Z51" s="13"/>
      <c r="AA51" s="14" t="str">
        <f t="shared" si="31"/>
        <v/>
      </c>
      <c r="AB51" s="13"/>
      <c r="AC51" s="14" t="str">
        <f t="shared" si="32"/>
        <v/>
      </c>
      <c r="AD51" s="13"/>
      <c r="AE51" s="14">
        <f t="shared" si="33"/>
        <v>0</v>
      </c>
      <c r="AF51" s="14">
        <f t="shared" si="34"/>
        <v>0</v>
      </c>
      <c r="AG51" s="13"/>
      <c r="AH51" s="14" t="str">
        <f t="shared" si="35"/>
        <v/>
      </c>
      <c r="AI51" s="13"/>
      <c r="AJ51" s="14" t="str">
        <f t="shared" si="36"/>
        <v/>
      </c>
      <c r="AK51" s="13"/>
      <c r="AL51" s="14" t="str">
        <f t="shared" si="37"/>
        <v/>
      </c>
      <c r="AM51" s="13"/>
      <c r="AN51" s="14" t="str">
        <f t="shared" si="38"/>
        <v/>
      </c>
      <c r="AO51" s="13"/>
      <c r="AP51" s="14" t="str">
        <f t="shared" si="39"/>
        <v/>
      </c>
      <c r="AQ51" s="13"/>
      <c r="AR51" s="14">
        <f t="shared" si="40"/>
        <v>0</v>
      </c>
      <c r="AS51" s="13"/>
      <c r="AT51" s="14">
        <f t="shared" si="41"/>
        <v>0</v>
      </c>
      <c r="AU51" s="14">
        <f t="shared" si="42"/>
        <v>0</v>
      </c>
      <c r="AV51" s="13"/>
      <c r="AW51" s="14" t="str">
        <f t="shared" si="43"/>
        <v/>
      </c>
      <c r="AX51" s="13"/>
      <c r="AY51" s="14" t="str">
        <f t="shared" si="44"/>
        <v/>
      </c>
      <c r="AZ51" s="13"/>
      <c r="BA51" s="14" t="str">
        <f t="shared" si="45"/>
        <v/>
      </c>
      <c r="BB51" s="13"/>
      <c r="BC51" s="14">
        <f t="shared" si="46"/>
        <v>0</v>
      </c>
      <c r="BD51" s="14">
        <f t="shared" si="47"/>
        <v>0</v>
      </c>
      <c r="BE51" s="13"/>
      <c r="BF51" s="14" t="str">
        <f t="shared" si="48"/>
        <v/>
      </c>
      <c r="BG51" s="13"/>
      <c r="BH51" s="14" t="str">
        <f t="shared" si="49"/>
        <v/>
      </c>
      <c r="BI51" s="14">
        <f t="shared" si="50"/>
        <v>0</v>
      </c>
      <c r="BJ51" s="14">
        <f t="shared" si="51"/>
        <v>0</v>
      </c>
      <c r="BK51" s="14" t="str">
        <f t="shared" si="52"/>
        <v>LOW RISK</v>
      </c>
      <c r="BL51" s="14" t="str">
        <f t="shared" si="53"/>
        <v/>
      </c>
      <c r="BM51" s="13"/>
      <c r="BN51" s="12"/>
      <c r="BO51" s="13"/>
      <c r="BP51" s="13"/>
      <c r="BQ51" s="13"/>
      <c r="BR51" s="13"/>
      <c r="BS51" s="13"/>
      <c r="BT51" s="13"/>
      <c r="BU51" s="14" t="str">
        <f t="shared" si="54"/>
        <v/>
      </c>
      <c r="BV51" s="13"/>
      <c r="BW51" s="13"/>
      <c r="BX51" s="13"/>
      <c r="BY51" s="13"/>
      <c r="BZ51" s="13"/>
      <c r="CA51" s="13"/>
      <c r="CB51" s="13"/>
      <c r="CC51" s="14" t="str">
        <f t="shared" si="55"/>
        <v/>
      </c>
      <c r="CD51" s="13"/>
      <c r="CE51" s="13"/>
      <c r="CF51" s="12"/>
      <c r="CG51" s="13"/>
      <c r="CH51" s="13"/>
      <c r="CI51" s="13"/>
      <c r="CJ51" s="13"/>
      <c r="CK51" s="13"/>
      <c r="CL51" s="12"/>
      <c r="CM51" s="13"/>
      <c r="CN51" s="13"/>
      <c r="CO51" s="13"/>
      <c r="CP51" s="12"/>
    </row>
    <row r="52" spans="1:94" x14ac:dyDescent="0.2">
      <c r="A52" s="12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4" t="str">
        <f t="shared" si="28"/>
        <v>✓ Clear to Score</v>
      </c>
      <c r="U52" s="13"/>
      <c r="V52" s="13"/>
      <c r="W52" s="14" t="str">
        <f t="shared" si="29"/>
        <v/>
      </c>
      <c r="X52" s="13"/>
      <c r="Y52" s="14" t="str">
        <f t="shared" si="30"/>
        <v/>
      </c>
      <c r="Z52" s="13"/>
      <c r="AA52" s="14" t="str">
        <f t="shared" si="31"/>
        <v/>
      </c>
      <c r="AB52" s="13"/>
      <c r="AC52" s="14" t="str">
        <f t="shared" si="32"/>
        <v/>
      </c>
      <c r="AD52" s="13"/>
      <c r="AE52" s="14">
        <f t="shared" si="33"/>
        <v>0</v>
      </c>
      <c r="AF52" s="14">
        <f t="shared" si="34"/>
        <v>0</v>
      </c>
      <c r="AG52" s="13"/>
      <c r="AH52" s="14" t="str">
        <f t="shared" si="35"/>
        <v/>
      </c>
      <c r="AI52" s="13"/>
      <c r="AJ52" s="14" t="str">
        <f t="shared" si="36"/>
        <v/>
      </c>
      <c r="AK52" s="13"/>
      <c r="AL52" s="14" t="str">
        <f t="shared" si="37"/>
        <v/>
      </c>
      <c r="AM52" s="13"/>
      <c r="AN52" s="14" t="str">
        <f t="shared" si="38"/>
        <v/>
      </c>
      <c r="AO52" s="13"/>
      <c r="AP52" s="14" t="str">
        <f t="shared" si="39"/>
        <v/>
      </c>
      <c r="AQ52" s="13"/>
      <c r="AR52" s="14">
        <f t="shared" si="40"/>
        <v>0</v>
      </c>
      <c r="AS52" s="13"/>
      <c r="AT52" s="14">
        <f t="shared" si="41"/>
        <v>0</v>
      </c>
      <c r="AU52" s="14">
        <f t="shared" si="42"/>
        <v>0</v>
      </c>
      <c r="AV52" s="13"/>
      <c r="AW52" s="14" t="str">
        <f t="shared" si="43"/>
        <v/>
      </c>
      <c r="AX52" s="13"/>
      <c r="AY52" s="14" t="str">
        <f t="shared" si="44"/>
        <v/>
      </c>
      <c r="AZ52" s="13"/>
      <c r="BA52" s="14" t="str">
        <f t="shared" si="45"/>
        <v/>
      </c>
      <c r="BB52" s="13"/>
      <c r="BC52" s="14">
        <f t="shared" si="46"/>
        <v>0</v>
      </c>
      <c r="BD52" s="14">
        <f t="shared" si="47"/>
        <v>0</v>
      </c>
      <c r="BE52" s="13"/>
      <c r="BF52" s="14" t="str">
        <f t="shared" si="48"/>
        <v/>
      </c>
      <c r="BG52" s="13"/>
      <c r="BH52" s="14" t="str">
        <f t="shared" si="49"/>
        <v/>
      </c>
      <c r="BI52" s="14">
        <f t="shared" si="50"/>
        <v>0</v>
      </c>
      <c r="BJ52" s="14">
        <f t="shared" si="51"/>
        <v>0</v>
      </c>
      <c r="BK52" s="14" t="str">
        <f t="shared" si="52"/>
        <v>LOW RISK</v>
      </c>
      <c r="BL52" s="14" t="str">
        <f t="shared" si="53"/>
        <v/>
      </c>
      <c r="BM52" s="13"/>
      <c r="BN52" s="12"/>
      <c r="BO52" s="13"/>
      <c r="BP52" s="13"/>
      <c r="BQ52" s="13"/>
      <c r="BR52" s="13"/>
      <c r="BS52" s="13"/>
      <c r="BT52" s="13"/>
      <c r="BU52" s="14" t="str">
        <f t="shared" si="54"/>
        <v/>
      </c>
      <c r="BV52" s="13"/>
      <c r="BW52" s="13"/>
      <c r="BX52" s="13"/>
      <c r="BY52" s="13"/>
      <c r="BZ52" s="13"/>
      <c r="CA52" s="13"/>
      <c r="CB52" s="13"/>
      <c r="CC52" s="14" t="str">
        <f t="shared" si="55"/>
        <v/>
      </c>
      <c r="CD52" s="13"/>
      <c r="CE52" s="13"/>
      <c r="CF52" s="12"/>
      <c r="CG52" s="13"/>
      <c r="CH52" s="13"/>
      <c r="CI52" s="13"/>
      <c r="CJ52" s="13"/>
      <c r="CK52" s="13"/>
      <c r="CL52" s="12"/>
      <c r="CM52" s="13"/>
      <c r="CN52" s="13"/>
      <c r="CO52" s="13"/>
      <c r="CP52" s="12"/>
    </row>
    <row r="53" spans="1:94" x14ac:dyDescent="0.2">
      <c r="A53" s="12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4" t="str">
        <f t="shared" si="28"/>
        <v>✓ Clear to Score</v>
      </c>
      <c r="U53" s="13"/>
      <c r="V53" s="13"/>
      <c r="W53" s="14" t="str">
        <f t="shared" si="29"/>
        <v/>
      </c>
      <c r="X53" s="13"/>
      <c r="Y53" s="14" t="str">
        <f t="shared" si="30"/>
        <v/>
      </c>
      <c r="Z53" s="13"/>
      <c r="AA53" s="14" t="str">
        <f t="shared" si="31"/>
        <v/>
      </c>
      <c r="AB53" s="13"/>
      <c r="AC53" s="14" t="str">
        <f t="shared" si="32"/>
        <v/>
      </c>
      <c r="AD53" s="13"/>
      <c r="AE53" s="14">
        <f t="shared" si="33"/>
        <v>0</v>
      </c>
      <c r="AF53" s="14">
        <f t="shared" si="34"/>
        <v>0</v>
      </c>
      <c r="AG53" s="13"/>
      <c r="AH53" s="14" t="str">
        <f t="shared" si="35"/>
        <v/>
      </c>
      <c r="AI53" s="13"/>
      <c r="AJ53" s="14" t="str">
        <f t="shared" si="36"/>
        <v/>
      </c>
      <c r="AK53" s="13"/>
      <c r="AL53" s="14" t="str">
        <f t="shared" si="37"/>
        <v/>
      </c>
      <c r="AM53" s="13"/>
      <c r="AN53" s="14" t="str">
        <f t="shared" si="38"/>
        <v/>
      </c>
      <c r="AO53" s="13"/>
      <c r="AP53" s="14" t="str">
        <f t="shared" si="39"/>
        <v/>
      </c>
      <c r="AQ53" s="13"/>
      <c r="AR53" s="14">
        <f t="shared" si="40"/>
        <v>0</v>
      </c>
      <c r="AS53" s="13"/>
      <c r="AT53" s="14">
        <f t="shared" si="41"/>
        <v>0</v>
      </c>
      <c r="AU53" s="14">
        <f t="shared" si="42"/>
        <v>0</v>
      </c>
      <c r="AV53" s="13"/>
      <c r="AW53" s="14" t="str">
        <f t="shared" si="43"/>
        <v/>
      </c>
      <c r="AX53" s="13"/>
      <c r="AY53" s="14" t="str">
        <f t="shared" si="44"/>
        <v/>
      </c>
      <c r="AZ53" s="13"/>
      <c r="BA53" s="14" t="str">
        <f t="shared" si="45"/>
        <v/>
      </c>
      <c r="BB53" s="13"/>
      <c r="BC53" s="14">
        <f t="shared" si="46"/>
        <v>0</v>
      </c>
      <c r="BD53" s="14">
        <f t="shared" si="47"/>
        <v>0</v>
      </c>
      <c r="BE53" s="13"/>
      <c r="BF53" s="14" t="str">
        <f t="shared" si="48"/>
        <v/>
      </c>
      <c r="BG53" s="13"/>
      <c r="BH53" s="14" t="str">
        <f t="shared" si="49"/>
        <v/>
      </c>
      <c r="BI53" s="14">
        <f t="shared" si="50"/>
        <v>0</v>
      </c>
      <c r="BJ53" s="14">
        <f t="shared" si="51"/>
        <v>0</v>
      </c>
      <c r="BK53" s="14" t="str">
        <f t="shared" si="52"/>
        <v>LOW RISK</v>
      </c>
      <c r="BL53" s="14" t="str">
        <f t="shared" si="53"/>
        <v/>
      </c>
      <c r="BM53" s="13"/>
      <c r="BN53" s="12"/>
      <c r="BO53" s="13"/>
      <c r="BP53" s="13"/>
      <c r="BQ53" s="13"/>
      <c r="BR53" s="13"/>
      <c r="BS53" s="13"/>
      <c r="BT53" s="13"/>
      <c r="BU53" s="14" t="str">
        <f t="shared" si="54"/>
        <v/>
      </c>
      <c r="BV53" s="13"/>
      <c r="BW53" s="13"/>
      <c r="BX53" s="13"/>
      <c r="BY53" s="13"/>
      <c r="BZ53" s="13"/>
      <c r="CA53" s="13"/>
      <c r="CB53" s="13"/>
      <c r="CC53" s="14" t="str">
        <f t="shared" si="55"/>
        <v/>
      </c>
      <c r="CD53" s="13"/>
      <c r="CE53" s="13"/>
      <c r="CF53" s="12"/>
      <c r="CG53" s="13"/>
      <c r="CH53" s="13"/>
      <c r="CI53" s="13"/>
      <c r="CJ53" s="13"/>
      <c r="CK53" s="13"/>
      <c r="CL53" s="12"/>
      <c r="CM53" s="13"/>
      <c r="CN53" s="13"/>
      <c r="CO53" s="13"/>
      <c r="CP53" s="12"/>
    </row>
    <row r="54" spans="1:94" x14ac:dyDescent="0.2">
      <c r="A54" s="12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4" t="str">
        <f t="shared" si="28"/>
        <v>✓ Clear to Score</v>
      </c>
      <c r="U54" s="13"/>
      <c r="V54" s="13"/>
      <c r="W54" s="14" t="str">
        <f t="shared" si="29"/>
        <v/>
      </c>
      <c r="X54" s="13"/>
      <c r="Y54" s="14" t="str">
        <f t="shared" si="30"/>
        <v/>
      </c>
      <c r="Z54" s="13"/>
      <c r="AA54" s="14" t="str">
        <f t="shared" si="31"/>
        <v/>
      </c>
      <c r="AB54" s="13"/>
      <c r="AC54" s="14" t="str">
        <f t="shared" si="32"/>
        <v/>
      </c>
      <c r="AD54" s="13"/>
      <c r="AE54" s="14">
        <f t="shared" si="33"/>
        <v>0</v>
      </c>
      <c r="AF54" s="14">
        <f t="shared" si="34"/>
        <v>0</v>
      </c>
      <c r="AG54" s="13"/>
      <c r="AH54" s="14" t="str">
        <f t="shared" si="35"/>
        <v/>
      </c>
      <c r="AI54" s="13"/>
      <c r="AJ54" s="14" t="str">
        <f t="shared" si="36"/>
        <v/>
      </c>
      <c r="AK54" s="13"/>
      <c r="AL54" s="14" t="str">
        <f t="shared" si="37"/>
        <v/>
      </c>
      <c r="AM54" s="13"/>
      <c r="AN54" s="14" t="str">
        <f t="shared" si="38"/>
        <v/>
      </c>
      <c r="AO54" s="13"/>
      <c r="AP54" s="14" t="str">
        <f t="shared" si="39"/>
        <v/>
      </c>
      <c r="AQ54" s="13"/>
      <c r="AR54" s="14">
        <f t="shared" si="40"/>
        <v>0</v>
      </c>
      <c r="AS54" s="13"/>
      <c r="AT54" s="14">
        <f t="shared" si="41"/>
        <v>0</v>
      </c>
      <c r="AU54" s="14">
        <f t="shared" si="42"/>
        <v>0</v>
      </c>
      <c r="AV54" s="13"/>
      <c r="AW54" s="14" t="str">
        <f t="shared" si="43"/>
        <v/>
      </c>
      <c r="AX54" s="13"/>
      <c r="AY54" s="14" t="str">
        <f t="shared" si="44"/>
        <v/>
      </c>
      <c r="AZ54" s="13"/>
      <c r="BA54" s="14" t="str">
        <f t="shared" si="45"/>
        <v/>
      </c>
      <c r="BB54" s="13"/>
      <c r="BC54" s="14">
        <f t="shared" si="46"/>
        <v>0</v>
      </c>
      <c r="BD54" s="14">
        <f t="shared" si="47"/>
        <v>0</v>
      </c>
      <c r="BE54" s="13"/>
      <c r="BF54" s="14" t="str">
        <f t="shared" si="48"/>
        <v/>
      </c>
      <c r="BG54" s="13"/>
      <c r="BH54" s="14" t="str">
        <f t="shared" si="49"/>
        <v/>
      </c>
      <c r="BI54" s="14">
        <f t="shared" si="50"/>
        <v>0</v>
      </c>
      <c r="BJ54" s="14">
        <f t="shared" si="51"/>
        <v>0</v>
      </c>
      <c r="BK54" s="14" t="str">
        <f t="shared" si="52"/>
        <v>LOW RISK</v>
      </c>
      <c r="BL54" s="14" t="str">
        <f t="shared" si="53"/>
        <v/>
      </c>
      <c r="BM54" s="13"/>
      <c r="BN54" s="12"/>
      <c r="BO54" s="13"/>
      <c r="BP54" s="13"/>
      <c r="BQ54" s="13"/>
      <c r="BR54" s="13"/>
      <c r="BS54" s="13"/>
      <c r="BT54" s="13"/>
      <c r="BU54" s="14" t="str">
        <f t="shared" si="54"/>
        <v/>
      </c>
      <c r="BV54" s="13"/>
      <c r="BW54" s="13"/>
      <c r="BX54" s="13"/>
      <c r="BY54" s="13"/>
      <c r="BZ54" s="13"/>
      <c r="CA54" s="13"/>
      <c r="CB54" s="13"/>
      <c r="CC54" s="14" t="str">
        <f t="shared" si="55"/>
        <v/>
      </c>
      <c r="CD54" s="13"/>
      <c r="CE54" s="13"/>
      <c r="CF54" s="12"/>
      <c r="CG54" s="13"/>
      <c r="CH54" s="13"/>
      <c r="CI54" s="13"/>
      <c r="CJ54" s="13"/>
      <c r="CK54" s="13"/>
      <c r="CL54" s="12"/>
      <c r="CM54" s="13"/>
      <c r="CN54" s="13"/>
      <c r="CO54" s="13"/>
      <c r="CP54" s="12"/>
    </row>
    <row r="55" spans="1:94" x14ac:dyDescent="0.2">
      <c r="A55" s="12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4" t="str">
        <f t="shared" si="28"/>
        <v>✓ Clear to Score</v>
      </c>
      <c r="U55" s="13"/>
      <c r="V55" s="13"/>
      <c r="W55" s="14" t="str">
        <f t="shared" si="29"/>
        <v/>
      </c>
      <c r="X55" s="13"/>
      <c r="Y55" s="14" t="str">
        <f t="shared" si="30"/>
        <v/>
      </c>
      <c r="Z55" s="13"/>
      <c r="AA55" s="14" t="str">
        <f t="shared" si="31"/>
        <v/>
      </c>
      <c r="AB55" s="13"/>
      <c r="AC55" s="14" t="str">
        <f t="shared" si="32"/>
        <v/>
      </c>
      <c r="AD55" s="13"/>
      <c r="AE55" s="14">
        <f t="shared" si="33"/>
        <v>0</v>
      </c>
      <c r="AF55" s="14">
        <f t="shared" si="34"/>
        <v>0</v>
      </c>
      <c r="AG55" s="13"/>
      <c r="AH55" s="14" t="str">
        <f t="shared" si="35"/>
        <v/>
      </c>
      <c r="AI55" s="13"/>
      <c r="AJ55" s="14" t="str">
        <f t="shared" si="36"/>
        <v/>
      </c>
      <c r="AK55" s="13"/>
      <c r="AL55" s="14" t="str">
        <f t="shared" si="37"/>
        <v/>
      </c>
      <c r="AM55" s="13"/>
      <c r="AN55" s="14" t="str">
        <f t="shared" si="38"/>
        <v/>
      </c>
      <c r="AO55" s="13"/>
      <c r="AP55" s="14" t="str">
        <f t="shared" si="39"/>
        <v/>
      </c>
      <c r="AQ55" s="13"/>
      <c r="AR55" s="14">
        <f t="shared" si="40"/>
        <v>0</v>
      </c>
      <c r="AS55" s="13"/>
      <c r="AT55" s="14">
        <f t="shared" si="41"/>
        <v>0</v>
      </c>
      <c r="AU55" s="14">
        <f t="shared" si="42"/>
        <v>0</v>
      </c>
      <c r="AV55" s="13"/>
      <c r="AW55" s="14" t="str">
        <f t="shared" si="43"/>
        <v/>
      </c>
      <c r="AX55" s="13"/>
      <c r="AY55" s="14" t="str">
        <f t="shared" si="44"/>
        <v/>
      </c>
      <c r="AZ55" s="13"/>
      <c r="BA55" s="14" t="str">
        <f t="shared" si="45"/>
        <v/>
      </c>
      <c r="BB55" s="13"/>
      <c r="BC55" s="14">
        <f t="shared" si="46"/>
        <v>0</v>
      </c>
      <c r="BD55" s="14">
        <f t="shared" si="47"/>
        <v>0</v>
      </c>
      <c r="BE55" s="13"/>
      <c r="BF55" s="14" t="str">
        <f t="shared" si="48"/>
        <v/>
      </c>
      <c r="BG55" s="13"/>
      <c r="BH55" s="14" t="str">
        <f t="shared" si="49"/>
        <v/>
      </c>
      <c r="BI55" s="14">
        <f t="shared" si="50"/>
        <v>0</v>
      </c>
      <c r="BJ55" s="14">
        <f t="shared" si="51"/>
        <v>0</v>
      </c>
      <c r="BK55" s="14" t="str">
        <f t="shared" si="52"/>
        <v>LOW RISK</v>
      </c>
      <c r="BL55" s="14" t="str">
        <f t="shared" si="53"/>
        <v/>
      </c>
      <c r="BM55" s="13"/>
      <c r="BN55" s="12"/>
      <c r="BO55" s="13"/>
      <c r="BP55" s="13"/>
      <c r="BQ55" s="13"/>
      <c r="BR55" s="13"/>
      <c r="BS55" s="13"/>
      <c r="BT55" s="13"/>
      <c r="BU55" s="14" t="str">
        <f t="shared" si="54"/>
        <v/>
      </c>
      <c r="BV55" s="13"/>
      <c r="BW55" s="13"/>
      <c r="BX55" s="13"/>
      <c r="BY55" s="13"/>
      <c r="BZ55" s="13"/>
      <c r="CA55" s="13"/>
      <c r="CB55" s="13"/>
      <c r="CC55" s="14" t="str">
        <f t="shared" si="55"/>
        <v/>
      </c>
      <c r="CD55" s="13"/>
      <c r="CE55" s="13"/>
      <c r="CF55" s="12"/>
      <c r="CG55" s="13"/>
      <c r="CH55" s="13"/>
      <c r="CI55" s="13"/>
      <c r="CJ55" s="13"/>
      <c r="CK55" s="13"/>
      <c r="CL55" s="12"/>
      <c r="CM55" s="13"/>
      <c r="CN55" s="13"/>
      <c r="CO55" s="13"/>
      <c r="CP55" s="12"/>
    </row>
    <row r="56" spans="1:94" x14ac:dyDescent="0.2">
      <c r="A56" s="12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4" t="str">
        <f t="shared" si="28"/>
        <v>✓ Clear to Score</v>
      </c>
      <c r="U56" s="13"/>
      <c r="V56" s="13"/>
      <c r="W56" s="14" t="str">
        <f t="shared" si="29"/>
        <v/>
      </c>
      <c r="X56" s="13"/>
      <c r="Y56" s="14" t="str">
        <f t="shared" si="30"/>
        <v/>
      </c>
      <c r="Z56" s="13"/>
      <c r="AA56" s="14" t="str">
        <f t="shared" si="31"/>
        <v/>
      </c>
      <c r="AB56" s="13"/>
      <c r="AC56" s="14" t="str">
        <f t="shared" si="32"/>
        <v/>
      </c>
      <c r="AD56" s="13"/>
      <c r="AE56" s="14">
        <f t="shared" si="33"/>
        <v>0</v>
      </c>
      <c r="AF56" s="14">
        <f t="shared" si="34"/>
        <v>0</v>
      </c>
      <c r="AG56" s="13"/>
      <c r="AH56" s="14" t="str">
        <f t="shared" si="35"/>
        <v/>
      </c>
      <c r="AI56" s="13"/>
      <c r="AJ56" s="14" t="str">
        <f t="shared" si="36"/>
        <v/>
      </c>
      <c r="AK56" s="13"/>
      <c r="AL56" s="14" t="str">
        <f t="shared" si="37"/>
        <v/>
      </c>
      <c r="AM56" s="13"/>
      <c r="AN56" s="14" t="str">
        <f t="shared" si="38"/>
        <v/>
      </c>
      <c r="AO56" s="13"/>
      <c r="AP56" s="14" t="str">
        <f t="shared" si="39"/>
        <v/>
      </c>
      <c r="AQ56" s="13"/>
      <c r="AR56" s="14">
        <f t="shared" si="40"/>
        <v>0</v>
      </c>
      <c r="AS56" s="13"/>
      <c r="AT56" s="14">
        <f t="shared" si="41"/>
        <v>0</v>
      </c>
      <c r="AU56" s="14">
        <f t="shared" si="42"/>
        <v>0</v>
      </c>
      <c r="AV56" s="13"/>
      <c r="AW56" s="14" t="str">
        <f t="shared" si="43"/>
        <v/>
      </c>
      <c r="AX56" s="13"/>
      <c r="AY56" s="14" t="str">
        <f t="shared" si="44"/>
        <v/>
      </c>
      <c r="AZ56" s="13"/>
      <c r="BA56" s="14" t="str">
        <f t="shared" si="45"/>
        <v/>
      </c>
      <c r="BB56" s="13"/>
      <c r="BC56" s="14">
        <f t="shared" si="46"/>
        <v>0</v>
      </c>
      <c r="BD56" s="14">
        <f t="shared" si="47"/>
        <v>0</v>
      </c>
      <c r="BE56" s="13"/>
      <c r="BF56" s="14" t="str">
        <f t="shared" si="48"/>
        <v/>
      </c>
      <c r="BG56" s="13"/>
      <c r="BH56" s="14" t="str">
        <f t="shared" si="49"/>
        <v/>
      </c>
      <c r="BI56" s="14">
        <f t="shared" si="50"/>
        <v>0</v>
      </c>
      <c r="BJ56" s="14">
        <f t="shared" si="51"/>
        <v>0</v>
      </c>
      <c r="BK56" s="14" t="str">
        <f t="shared" si="52"/>
        <v>LOW RISK</v>
      </c>
      <c r="BL56" s="14" t="str">
        <f t="shared" si="53"/>
        <v/>
      </c>
      <c r="BM56" s="13"/>
      <c r="BN56" s="12"/>
      <c r="BO56" s="13"/>
      <c r="BP56" s="13"/>
      <c r="BQ56" s="13"/>
      <c r="BR56" s="13"/>
      <c r="BS56" s="13"/>
      <c r="BT56" s="13"/>
      <c r="BU56" s="14" t="str">
        <f t="shared" si="54"/>
        <v/>
      </c>
      <c r="BV56" s="13"/>
      <c r="BW56" s="13"/>
      <c r="BX56" s="13"/>
      <c r="BY56" s="13"/>
      <c r="BZ56" s="13"/>
      <c r="CA56" s="13"/>
      <c r="CB56" s="13"/>
      <c r="CC56" s="14" t="str">
        <f t="shared" si="55"/>
        <v/>
      </c>
      <c r="CD56" s="13"/>
      <c r="CE56" s="13"/>
      <c r="CF56" s="12"/>
      <c r="CG56" s="13"/>
      <c r="CH56" s="13"/>
      <c r="CI56" s="13"/>
      <c r="CJ56" s="13"/>
      <c r="CK56" s="13"/>
      <c r="CL56" s="12"/>
      <c r="CM56" s="13"/>
      <c r="CN56" s="13"/>
      <c r="CO56" s="13"/>
      <c r="CP56" s="12"/>
    </row>
    <row r="57" spans="1:94" x14ac:dyDescent="0.2">
      <c r="A57" s="12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4" t="str">
        <f t="shared" si="28"/>
        <v>✓ Clear to Score</v>
      </c>
      <c r="U57" s="13"/>
      <c r="V57" s="13"/>
      <c r="W57" s="14" t="str">
        <f t="shared" si="29"/>
        <v/>
      </c>
      <c r="X57" s="13"/>
      <c r="Y57" s="14" t="str">
        <f t="shared" si="30"/>
        <v/>
      </c>
      <c r="Z57" s="13"/>
      <c r="AA57" s="14" t="str">
        <f t="shared" si="31"/>
        <v/>
      </c>
      <c r="AB57" s="13"/>
      <c r="AC57" s="14" t="str">
        <f t="shared" si="32"/>
        <v/>
      </c>
      <c r="AD57" s="13"/>
      <c r="AE57" s="14">
        <f t="shared" si="33"/>
        <v>0</v>
      </c>
      <c r="AF57" s="14">
        <f t="shared" si="34"/>
        <v>0</v>
      </c>
      <c r="AG57" s="13"/>
      <c r="AH57" s="14" t="str">
        <f t="shared" si="35"/>
        <v/>
      </c>
      <c r="AI57" s="13"/>
      <c r="AJ57" s="14" t="str">
        <f t="shared" si="36"/>
        <v/>
      </c>
      <c r="AK57" s="13"/>
      <c r="AL57" s="14" t="str">
        <f t="shared" si="37"/>
        <v/>
      </c>
      <c r="AM57" s="13"/>
      <c r="AN57" s="14" t="str">
        <f t="shared" si="38"/>
        <v/>
      </c>
      <c r="AO57" s="13"/>
      <c r="AP57" s="14" t="str">
        <f t="shared" si="39"/>
        <v/>
      </c>
      <c r="AQ57" s="13"/>
      <c r="AR57" s="14">
        <f t="shared" si="40"/>
        <v>0</v>
      </c>
      <c r="AS57" s="13"/>
      <c r="AT57" s="14">
        <f t="shared" si="41"/>
        <v>0</v>
      </c>
      <c r="AU57" s="14">
        <f t="shared" si="42"/>
        <v>0</v>
      </c>
      <c r="AV57" s="13"/>
      <c r="AW57" s="14" t="str">
        <f t="shared" si="43"/>
        <v/>
      </c>
      <c r="AX57" s="13"/>
      <c r="AY57" s="14" t="str">
        <f t="shared" si="44"/>
        <v/>
      </c>
      <c r="AZ57" s="13"/>
      <c r="BA57" s="14" t="str">
        <f t="shared" si="45"/>
        <v/>
      </c>
      <c r="BB57" s="13"/>
      <c r="BC57" s="14">
        <f t="shared" si="46"/>
        <v>0</v>
      </c>
      <c r="BD57" s="14">
        <f t="shared" si="47"/>
        <v>0</v>
      </c>
      <c r="BE57" s="13"/>
      <c r="BF57" s="14" t="str">
        <f t="shared" si="48"/>
        <v/>
      </c>
      <c r="BG57" s="13"/>
      <c r="BH57" s="14" t="str">
        <f t="shared" si="49"/>
        <v/>
      </c>
      <c r="BI57" s="14">
        <f t="shared" si="50"/>
        <v>0</v>
      </c>
      <c r="BJ57" s="14">
        <f t="shared" si="51"/>
        <v>0</v>
      </c>
      <c r="BK57" s="14" t="str">
        <f t="shared" si="52"/>
        <v>LOW RISK</v>
      </c>
      <c r="BL57" s="14" t="str">
        <f t="shared" si="53"/>
        <v/>
      </c>
      <c r="BM57" s="13"/>
      <c r="BN57" s="12"/>
      <c r="BO57" s="13"/>
      <c r="BP57" s="13"/>
      <c r="BQ57" s="13"/>
      <c r="BR57" s="13"/>
      <c r="BS57" s="13"/>
      <c r="BT57" s="13"/>
      <c r="BU57" s="14" t="str">
        <f t="shared" si="54"/>
        <v/>
      </c>
      <c r="BV57" s="13"/>
      <c r="BW57" s="13"/>
      <c r="BX57" s="13"/>
      <c r="BY57" s="13"/>
      <c r="BZ57" s="13"/>
      <c r="CA57" s="13"/>
      <c r="CB57" s="13"/>
      <c r="CC57" s="14" t="str">
        <f t="shared" si="55"/>
        <v/>
      </c>
      <c r="CD57" s="13"/>
      <c r="CE57" s="13"/>
      <c r="CF57" s="12"/>
      <c r="CG57" s="13"/>
      <c r="CH57" s="13"/>
      <c r="CI57" s="13"/>
      <c r="CJ57" s="13"/>
      <c r="CK57" s="13"/>
      <c r="CL57" s="12"/>
      <c r="CM57" s="13"/>
      <c r="CN57" s="13"/>
      <c r="CO57" s="13"/>
      <c r="CP57" s="12"/>
    </row>
    <row r="58" spans="1:94" x14ac:dyDescent="0.2">
      <c r="A58" s="12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4" t="str">
        <f t="shared" si="28"/>
        <v>✓ Clear to Score</v>
      </c>
      <c r="U58" s="13"/>
      <c r="V58" s="13"/>
      <c r="W58" s="14" t="str">
        <f t="shared" si="29"/>
        <v/>
      </c>
      <c r="X58" s="13"/>
      <c r="Y58" s="14" t="str">
        <f t="shared" si="30"/>
        <v/>
      </c>
      <c r="Z58" s="13"/>
      <c r="AA58" s="14" t="str">
        <f t="shared" si="31"/>
        <v/>
      </c>
      <c r="AB58" s="13"/>
      <c r="AC58" s="14" t="str">
        <f t="shared" si="32"/>
        <v/>
      </c>
      <c r="AD58" s="13"/>
      <c r="AE58" s="14">
        <f t="shared" si="33"/>
        <v>0</v>
      </c>
      <c r="AF58" s="14">
        <f t="shared" si="34"/>
        <v>0</v>
      </c>
      <c r="AG58" s="13"/>
      <c r="AH58" s="14" t="str">
        <f t="shared" si="35"/>
        <v/>
      </c>
      <c r="AI58" s="13"/>
      <c r="AJ58" s="14" t="str">
        <f t="shared" si="36"/>
        <v/>
      </c>
      <c r="AK58" s="13"/>
      <c r="AL58" s="14" t="str">
        <f t="shared" si="37"/>
        <v/>
      </c>
      <c r="AM58" s="13"/>
      <c r="AN58" s="14" t="str">
        <f t="shared" si="38"/>
        <v/>
      </c>
      <c r="AO58" s="13"/>
      <c r="AP58" s="14" t="str">
        <f t="shared" si="39"/>
        <v/>
      </c>
      <c r="AQ58" s="13"/>
      <c r="AR58" s="14">
        <f t="shared" si="40"/>
        <v>0</v>
      </c>
      <c r="AS58" s="13"/>
      <c r="AT58" s="14">
        <f t="shared" si="41"/>
        <v>0</v>
      </c>
      <c r="AU58" s="14">
        <f t="shared" si="42"/>
        <v>0</v>
      </c>
      <c r="AV58" s="13"/>
      <c r="AW58" s="14" t="str">
        <f t="shared" si="43"/>
        <v/>
      </c>
      <c r="AX58" s="13"/>
      <c r="AY58" s="14" t="str">
        <f t="shared" si="44"/>
        <v/>
      </c>
      <c r="AZ58" s="13"/>
      <c r="BA58" s="14" t="str">
        <f t="shared" si="45"/>
        <v/>
      </c>
      <c r="BB58" s="13"/>
      <c r="BC58" s="14">
        <f t="shared" si="46"/>
        <v>0</v>
      </c>
      <c r="BD58" s="14">
        <f t="shared" si="47"/>
        <v>0</v>
      </c>
      <c r="BE58" s="13"/>
      <c r="BF58" s="14" t="str">
        <f t="shared" si="48"/>
        <v/>
      </c>
      <c r="BG58" s="13"/>
      <c r="BH58" s="14" t="str">
        <f t="shared" si="49"/>
        <v/>
      </c>
      <c r="BI58" s="14">
        <f t="shared" si="50"/>
        <v>0</v>
      </c>
      <c r="BJ58" s="14">
        <f t="shared" si="51"/>
        <v>0</v>
      </c>
      <c r="BK58" s="14" t="str">
        <f t="shared" si="52"/>
        <v>LOW RISK</v>
      </c>
      <c r="BL58" s="14" t="str">
        <f t="shared" si="53"/>
        <v/>
      </c>
      <c r="BM58" s="13"/>
      <c r="BN58" s="12"/>
      <c r="BO58" s="13"/>
      <c r="BP58" s="13"/>
      <c r="BQ58" s="13"/>
      <c r="BR58" s="13"/>
      <c r="BS58" s="13"/>
      <c r="BT58" s="13"/>
      <c r="BU58" s="14" t="str">
        <f t="shared" si="54"/>
        <v/>
      </c>
      <c r="BV58" s="13"/>
      <c r="BW58" s="13"/>
      <c r="BX58" s="13"/>
      <c r="BY58" s="13"/>
      <c r="BZ58" s="13"/>
      <c r="CA58" s="13"/>
      <c r="CB58" s="13"/>
      <c r="CC58" s="14" t="str">
        <f t="shared" si="55"/>
        <v/>
      </c>
      <c r="CD58" s="13"/>
      <c r="CE58" s="13"/>
      <c r="CF58" s="12"/>
      <c r="CG58" s="13"/>
      <c r="CH58" s="13"/>
      <c r="CI58" s="13"/>
      <c r="CJ58" s="13"/>
      <c r="CK58" s="13"/>
      <c r="CL58" s="12"/>
      <c r="CM58" s="13"/>
      <c r="CN58" s="13"/>
      <c r="CO58" s="13"/>
      <c r="CP58" s="12"/>
    </row>
    <row r="59" spans="1:94" x14ac:dyDescent="0.2">
      <c r="A59" s="12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4" t="str">
        <f t="shared" si="28"/>
        <v>✓ Clear to Score</v>
      </c>
      <c r="U59" s="13"/>
      <c r="V59" s="13"/>
      <c r="W59" s="14" t="str">
        <f t="shared" si="29"/>
        <v/>
      </c>
      <c r="X59" s="13"/>
      <c r="Y59" s="14" t="str">
        <f t="shared" si="30"/>
        <v/>
      </c>
      <c r="Z59" s="13"/>
      <c r="AA59" s="14" t="str">
        <f t="shared" si="31"/>
        <v/>
      </c>
      <c r="AB59" s="13"/>
      <c r="AC59" s="14" t="str">
        <f t="shared" si="32"/>
        <v/>
      </c>
      <c r="AD59" s="13"/>
      <c r="AE59" s="14">
        <f t="shared" si="33"/>
        <v>0</v>
      </c>
      <c r="AF59" s="14">
        <f t="shared" si="34"/>
        <v>0</v>
      </c>
      <c r="AG59" s="13"/>
      <c r="AH59" s="14" t="str">
        <f t="shared" si="35"/>
        <v/>
      </c>
      <c r="AI59" s="13"/>
      <c r="AJ59" s="14" t="str">
        <f t="shared" si="36"/>
        <v/>
      </c>
      <c r="AK59" s="13"/>
      <c r="AL59" s="14" t="str">
        <f t="shared" si="37"/>
        <v/>
      </c>
      <c r="AM59" s="13"/>
      <c r="AN59" s="14" t="str">
        <f t="shared" si="38"/>
        <v/>
      </c>
      <c r="AO59" s="13"/>
      <c r="AP59" s="14" t="str">
        <f t="shared" si="39"/>
        <v/>
      </c>
      <c r="AQ59" s="13"/>
      <c r="AR59" s="14">
        <f t="shared" si="40"/>
        <v>0</v>
      </c>
      <c r="AS59" s="13"/>
      <c r="AT59" s="14">
        <f t="shared" si="41"/>
        <v>0</v>
      </c>
      <c r="AU59" s="14">
        <f t="shared" si="42"/>
        <v>0</v>
      </c>
      <c r="AV59" s="13"/>
      <c r="AW59" s="14" t="str">
        <f t="shared" si="43"/>
        <v/>
      </c>
      <c r="AX59" s="13"/>
      <c r="AY59" s="14" t="str">
        <f t="shared" si="44"/>
        <v/>
      </c>
      <c r="AZ59" s="13"/>
      <c r="BA59" s="14" t="str">
        <f t="shared" si="45"/>
        <v/>
      </c>
      <c r="BB59" s="13"/>
      <c r="BC59" s="14">
        <f t="shared" si="46"/>
        <v>0</v>
      </c>
      <c r="BD59" s="14">
        <f t="shared" si="47"/>
        <v>0</v>
      </c>
      <c r="BE59" s="13"/>
      <c r="BF59" s="14" t="str">
        <f t="shared" si="48"/>
        <v/>
      </c>
      <c r="BG59" s="13"/>
      <c r="BH59" s="14" t="str">
        <f t="shared" si="49"/>
        <v/>
      </c>
      <c r="BI59" s="14">
        <f t="shared" si="50"/>
        <v>0</v>
      </c>
      <c r="BJ59" s="14">
        <f t="shared" si="51"/>
        <v>0</v>
      </c>
      <c r="BK59" s="14" t="str">
        <f t="shared" si="52"/>
        <v>LOW RISK</v>
      </c>
      <c r="BL59" s="14" t="str">
        <f t="shared" si="53"/>
        <v/>
      </c>
      <c r="BM59" s="13"/>
      <c r="BN59" s="12"/>
      <c r="BO59" s="13"/>
      <c r="BP59" s="13"/>
      <c r="BQ59" s="13"/>
      <c r="BR59" s="13"/>
      <c r="BS59" s="13"/>
      <c r="BT59" s="13"/>
      <c r="BU59" s="14" t="str">
        <f t="shared" si="54"/>
        <v/>
      </c>
      <c r="BV59" s="13"/>
      <c r="BW59" s="13"/>
      <c r="BX59" s="13"/>
      <c r="BY59" s="13"/>
      <c r="BZ59" s="13"/>
      <c r="CA59" s="13"/>
      <c r="CB59" s="13"/>
      <c r="CC59" s="14" t="str">
        <f t="shared" si="55"/>
        <v/>
      </c>
      <c r="CD59" s="13"/>
      <c r="CE59" s="13"/>
      <c r="CF59" s="12"/>
      <c r="CG59" s="13"/>
      <c r="CH59" s="13"/>
      <c r="CI59" s="13"/>
      <c r="CJ59" s="13"/>
      <c r="CK59" s="13"/>
      <c r="CL59" s="12"/>
      <c r="CM59" s="13"/>
      <c r="CN59" s="13"/>
      <c r="CO59" s="13"/>
      <c r="CP59" s="12"/>
    </row>
    <row r="60" spans="1:94" x14ac:dyDescent="0.2">
      <c r="A60" s="12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4" t="str">
        <f t="shared" si="28"/>
        <v>✓ Clear to Score</v>
      </c>
      <c r="U60" s="13"/>
      <c r="V60" s="13"/>
      <c r="W60" s="14" t="str">
        <f t="shared" si="29"/>
        <v/>
      </c>
      <c r="X60" s="13"/>
      <c r="Y60" s="14" t="str">
        <f t="shared" si="30"/>
        <v/>
      </c>
      <c r="Z60" s="13"/>
      <c r="AA60" s="14" t="str">
        <f t="shared" si="31"/>
        <v/>
      </c>
      <c r="AB60" s="13"/>
      <c r="AC60" s="14" t="str">
        <f t="shared" si="32"/>
        <v/>
      </c>
      <c r="AD60" s="13"/>
      <c r="AE60" s="14">
        <f t="shared" si="33"/>
        <v>0</v>
      </c>
      <c r="AF60" s="14">
        <f t="shared" si="34"/>
        <v>0</v>
      </c>
      <c r="AG60" s="13"/>
      <c r="AH60" s="14" t="str">
        <f t="shared" si="35"/>
        <v/>
      </c>
      <c r="AI60" s="13"/>
      <c r="AJ60" s="14" t="str">
        <f t="shared" si="36"/>
        <v/>
      </c>
      <c r="AK60" s="13"/>
      <c r="AL60" s="14" t="str">
        <f t="shared" si="37"/>
        <v/>
      </c>
      <c r="AM60" s="13"/>
      <c r="AN60" s="14" t="str">
        <f t="shared" si="38"/>
        <v/>
      </c>
      <c r="AO60" s="13"/>
      <c r="AP60" s="14" t="str">
        <f t="shared" si="39"/>
        <v/>
      </c>
      <c r="AQ60" s="13"/>
      <c r="AR60" s="14">
        <f t="shared" si="40"/>
        <v>0</v>
      </c>
      <c r="AS60" s="13"/>
      <c r="AT60" s="14">
        <f t="shared" si="41"/>
        <v>0</v>
      </c>
      <c r="AU60" s="14">
        <f t="shared" si="42"/>
        <v>0</v>
      </c>
      <c r="AV60" s="13"/>
      <c r="AW60" s="14" t="str">
        <f t="shared" si="43"/>
        <v/>
      </c>
      <c r="AX60" s="13"/>
      <c r="AY60" s="14" t="str">
        <f t="shared" si="44"/>
        <v/>
      </c>
      <c r="AZ60" s="13"/>
      <c r="BA60" s="14" t="str">
        <f t="shared" si="45"/>
        <v/>
      </c>
      <c r="BB60" s="13"/>
      <c r="BC60" s="14">
        <f t="shared" si="46"/>
        <v>0</v>
      </c>
      <c r="BD60" s="14">
        <f t="shared" si="47"/>
        <v>0</v>
      </c>
      <c r="BE60" s="13"/>
      <c r="BF60" s="14" t="str">
        <f t="shared" si="48"/>
        <v/>
      </c>
      <c r="BG60" s="13"/>
      <c r="BH60" s="14" t="str">
        <f t="shared" si="49"/>
        <v/>
      </c>
      <c r="BI60" s="14">
        <f t="shared" si="50"/>
        <v>0</v>
      </c>
      <c r="BJ60" s="14">
        <f t="shared" si="51"/>
        <v>0</v>
      </c>
      <c r="BK60" s="14" t="str">
        <f t="shared" si="52"/>
        <v>LOW RISK</v>
      </c>
      <c r="BL60" s="14" t="str">
        <f t="shared" si="53"/>
        <v/>
      </c>
      <c r="BM60" s="13"/>
      <c r="BN60" s="12"/>
      <c r="BO60" s="13"/>
      <c r="BP60" s="13"/>
      <c r="BQ60" s="13"/>
      <c r="BR60" s="13"/>
      <c r="BS60" s="13"/>
      <c r="BT60" s="13"/>
      <c r="BU60" s="14" t="str">
        <f t="shared" si="54"/>
        <v/>
      </c>
      <c r="BV60" s="13"/>
      <c r="BW60" s="13"/>
      <c r="BX60" s="13"/>
      <c r="BY60" s="13"/>
      <c r="BZ60" s="13"/>
      <c r="CA60" s="13"/>
      <c r="CB60" s="13"/>
      <c r="CC60" s="14" t="str">
        <f t="shared" si="55"/>
        <v/>
      </c>
      <c r="CD60" s="13"/>
      <c r="CE60" s="13"/>
      <c r="CF60" s="12"/>
      <c r="CG60" s="13"/>
      <c r="CH60" s="13"/>
      <c r="CI60" s="13"/>
      <c r="CJ60" s="13"/>
      <c r="CK60" s="13"/>
      <c r="CL60" s="12"/>
      <c r="CM60" s="13"/>
      <c r="CN60" s="13"/>
      <c r="CO60" s="13"/>
      <c r="CP60" s="12"/>
    </row>
    <row r="61" spans="1:94" x14ac:dyDescent="0.2">
      <c r="A61" s="12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4" t="str">
        <f t="shared" si="28"/>
        <v>✓ Clear to Score</v>
      </c>
      <c r="U61" s="13"/>
      <c r="V61" s="13"/>
      <c r="W61" s="14" t="str">
        <f t="shared" si="29"/>
        <v/>
      </c>
      <c r="X61" s="13"/>
      <c r="Y61" s="14" t="str">
        <f t="shared" si="30"/>
        <v/>
      </c>
      <c r="Z61" s="13"/>
      <c r="AA61" s="14" t="str">
        <f t="shared" si="31"/>
        <v/>
      </c>
      <c r="AB61" s="13"/>
      <c r="AC61" s="14" t="str">
        <f t="shared" si="32"/>
        <v/>
      </c>
      <c r="AD61" s="13"/>
      <c r="AE61" s="14">
        <f t="shared" si="33"/>
        <v>0</v>
      </c>
      <c r="AF61" s="14">
        <f t="shared" si="34"/>
        <v>0</v>
      </c>
      <c r="AG61" s="13"/>
      <c r="AH61" s="14" t="str">
        <f t="shared" si="35"/>
        <v/>
      </c>
      <c r="AI61" s="13"/>
      <c r="AJ61" s="14" t="str">
        <f t="shared" si="36"/>
        <v/>
      </c>
      <c r="AK61" s="13"/>
      <c r="AL61" s="14" t="str">
        <f t="shared" si="37"/>
        <v/>
      </c>
      <c r="AM61" s="13"/>
      <c r="AN61" s="14" t="str">
        <f t="shared" si="38"/>
        <v/>
      </c>
      <c r="AO61" s="13"/>
      <c r="AP61" s="14" t="str">
        <f t="shared" si="39"/>
        <v/>
      </c>
      <c r="AQ61" s="13"/>
      <c r="AR61" s="14">
        <f t="shared" si="40"/>
        <v>0</v>
      </c>
      <c r="AS61" s="13"/>
      <c r="AT61" s="14">
        <f t="shared" si="41"/>
        <v>0</v>
      </c>
      <c r="AU61" s="14">
        <f t="shared" si="42"/>
        <v>0</v>
      </c>
      <c r="AV61" s="13"/>
      <c r="AW61" s="14" t="str">
        <f t="shared" si="43"/>
        <v/>
      </c>
      <c r="AX61" s="13"/>
      <c r="AY61" s="14" t="str">
        <f t="shared" si="44"/>
        <v/>
      </c>
      <c r="AZ61" s="13"/>
      <c r="BA61" s="14" t="str">
        <f t="shared" si="45"/>
        <v/>
      </c>
      <c r="BB61" s="13"/>
      <c r="BC61" s="14">
        <f t="shared" si="46"/>
        <v>0</v>
      </c>
      <c r="BD61" s="14">
        <f t="shared" si="47"/>
        <v>0</v>
      </c>
      <c r="BE61" s="13"/>
      <c r="BF61" s="14" t="str">
        <f t="shared" si="48"/>
        <v/>
      </c>
      <c r="BG61" s="13"/>
      <c r="BH61" s="14" t="str">
        <f t="shared" si="49"/>
        <v/>
      </c>
      <c r="BI61" s="14">
        <f t="shared" si="50"/>
        <v>0</v>
      </c>
      <c r="BJ61" s="14">
        <f t="shared" si="51"/>
        <v>0</v>
      </c>
      <c r="BK61" s="14" t="str">
        <f t="shared" si="52"/>
        <v>LOW RISK</v>
      </c>
      <c r="BL61" s="14" t="str">
        <f t="shared" si="53"/>
        <v/>
      </c>
      <c r="BM61" s="13"/>
      <c r="BN61" s="12"/>
      <c r="BO61" s="13"/>
      <c r="BP61" s="13"/>
      <c r="BQ61" s="13"/>
      <c r="BR61" s="13"/>
      <c r="BS61" s="13"/>
      <c r="BT61" s="13"/>
      <c r="BU61" s="14" t="str">
        <f t="shared" si="54"/>
        <v/>
      </c>
      <c r="BV61" s="13"/>
      <c r="BW61" s="13"/>
      <c r="BX61" s="13"/>
      <c r="BY61" s="13"/>
      <c r="BZ61" s="13"/>
      <c r="CA61" s="13"/>
      <c r="CB61" s="13"/>
      <c r="CC61" s="14" t="str">
        <f t="shared" si="55"/>
        <v/>
      </c>
      <c r="CD61" s="13"/>
      <c r="CE61" s="13"/>
      <c r="CF61" s="12"/>
      <c r="CG61" s="13"/>
      <c r="CH61" s="13"/>
      <c r="CI61" s="13"/>
      <c r="CJ61" s="13"/>
      <c r="CK61" s="13"/>
      <c r="CL61" s="12"/>
      <c r="CM61" s="13"/>
      <c r="CN61" s="13"/>
      <c r="CO61" s="13"/>
      <c r="CP61" s="12"/>
    </row>
    <row r="62" spans="1:94" x14ac:dyDescent="0.2">
      <c r="A62" s="12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4" t="str">
        <f t="shared" si="28"/>
        <v>✓ Clear to Score</v>
      </c>
      <c r="U62" s="13"/>
      <c r="V62" s="13"/>
      <c r="W62" s="14" t="str">
        <f t="shared" si="29"/>
        <v/>
      </c>
      <c r="X62" s="13"/>
      <c r="Y62" s="14" t="str">
        <f t="shared" si="30"/>
        <v/>
      </c>
      <c r="Z62" s="13"/>
      <c r="AA62" s="14" t="str">
        <f t="shared" si="31"/>
        <v/>
      </c>
      <c r="AB62" s="13"/>
      <c r="AC62" s="14" t="str">
        <f t="shared" si="32"/>
        <v/>
      </c>
      <c r="AD62" s="13"/>
      <c r="AE62" s="14">
        <f t="shared" si="33"/>
        <v>0</v>
      </c>
      <c r="AF62" s="14">
        <f t="shared" si="34"/>
        <v>0</v>
      </c>
      <c r="AG62" s="13"/>
      <c r="AH62" s="14" t="str">
        <f t="shared" si="35"/>
        <v/>
      </c>
      <c r="AI62" s="13"/>
      <c r="AJ62" s="14" t="str">
        <f t="shared" si="36"/>
        <v/>
      </c>
      <c r="AK62" s="13"/>
      <c r="AL62" s="14" t="str">
        <f t="shared" si="37"/>
        <v/>
      </c>
      <c r="AM62" s="13"/>
      <c r="AN62" s="14" t="str">
        <f t="shared" si="38"/>
        <v/>
      </c>
      <c r="AO62" s="13"/>
      <c r="AP62" s="14" t="str">
        <f t="shared" si="39"/>
        <v/>
      </c>
      <c r="AQ62" s="13"/>
      <c r="AR62" s="14">
        <f t="shared" si="40"/>
        <v>0</v>
      </c>
      <c r="AS62" s="13"/>
      <c r="AT62" s="14">
        <f t="shared" si="41"/>
        <v>0</v>
      </c>
      <c r="AU62" s="14">
        <f t="shared" si="42"/>
        <v>0</v>
      </c>
      <c r="AV62" s="13"/>
      <c r="AW62" s="14" t="str">
        <f t="shared" si="43"/>
        <v/>
      </c>
      <c r="AX62" s="13"/>
      <c r="AY62" s="14" t="str">
        <f t="shared" si="44"/>
        <v/>
      </c>
      <c r="AZ62" s="13"/>
      <c r="BA62" s="14" t="str">
        <f t="shared" si="45"/>
        <v/>
      </c>
      <c r="BB62" s="13"/>
      <c r="BC62" s="14">
        <f t="shared" si="46"/>
        <v>0</v>
      </c>
      <c r="BD62" s="14">
        <f t="shared" si="47"/>
        <v>0</v>
      </c>
      <c r="BE62" s="13"/>
      <c r="BF62" s="14" t="str">
        <f t="shared" si="48"/>
        <v/>
      </c>
      <c r="BG62" s="13"/>
      <c r="BH62" s="14" t="str">
        <f t="shared" si="49"/>
        <v/>
      </c>
      <c r="BI62" s="14">
        <f t="shared" si="50"/>
        <v>0</v>
      </c>
      <c r="BJ62" s="14">
        <f t="shared" si="51"/>
        <v>0</v>
      </c>
      <c r="BK62" s="14" t="str">
        <f t="shared" si="52"/>
        <v>LOW RISK</v>
      </c>
      <c r="BL62" s="14" t="str">
        <f t="shared" si="53"/>
        <v/>
      </c>
      <c r="BM62" s="13"/>
      <c r="BN62" s="12"/>
      <c r="BO62" s="13"/>
      <c r="BP62" s="13"/>
      <c r="BQ62" s="13"/>
      <c r="BR62" s="13"/>
      <c r="BS62" s="13"/>
      <c r="BT62" s="13"/>
      <c r="BU62" s="14" t="str">
        <f t="shared" si="54"/>
        <v/>
      </c>
      <c r="BV62" s="13"/>
      <c r="BW62" s="13"/>
      <c r="BX62" s="13"/>
      <c r="BY62" s="13"/>
      <c r="BZ62" s="13"/>
      <c r="CA62" s="13"/>
      <c r="CB62" s="13"/>
      <c r="CC62" s="14" t="str">
        <f t="shared" si="55"/>
        <v/>
      </c>
      <c r="CD62" s="13"/>
      <c r="CE62" s="13"/>
      <c r="CF62" s="12"/>
      <c r="CG62" s="13"/>
      <c r="CH62" s="13"/>
      <c r="CI62" s="13"/>
      <c r="CJ62" s="13"/>
      <c r="CK62" s="13"/>
      <c r="CL62" s="12"/>
      <c r="CM62" s="13"/>
      <c r="CN62" s="13"/>
      <c r="CO62" s="13"/>
      <c r="CP62" s="12"/>
    </row>
    <row r="63" spans="1:94" x14ac:dyDescent="0.2">
      <c r="A63" s="12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4" t="str">
        <f t="shared" si="28"/>
        <v>✓ Clear to Score</v>
      </c>
      <c r="U63" s="13"/>
      <c r="V63" s="13"/>
      <c r="W63" s="14" t="str">
        <f t="shared" si="29"/>
        <v/>
      </c>
      <c r="X63" s="13"/>
      <c r="Y63" s="14" t="str">
        <f t="shared" si="30"/>
        <v/>
      </c>
      <c r="Z63" s="13"/>
      <c r="AA63" s="14" t="str">
        <f t="shared" si="31"/>
        <v/>
      </c>
      <c r="AB63" s="13"/>
      <c r="AC63" s="14" t="str">
        <f t="shared" si="32"/>
        <v/>
      </c>
      <c r="AD63" s="13"/>
      <c r="AE63" s="14">
        <f t="shared" si="33"/>
        <v>0</v>
      </c>
      <c r="AF63" s="14">
        <f t="shared" si="34"/>
        <v>0</v>
      </c>
      <c r="AG63" s="13"/>
      <c r="AH63" s="14" t="str">
        <f t="shared" si="35"/>
        <v/>
      </c>
      <c r="AI63" s="13"/>
      <c r="AJ63" s="14" t="str">
        <f t="shared" si="36"/>
        <v/>
      </c>
      <c r="AK63" s="13"/>
      <c r="AL63" s="14" t="str">
        <f t="shared" si="37"/>
        <v/>
      </c>
      <c r="AM63" s="13"/>
      <c r="AN63" s="14" t="str">
        <f t="shared" si="38"/>
        <v/>
      </c>
      <c r="AO63" s="13"/>
      <c r="AP63" s="14" t="str">
        <f t="shared" si="39"/>
        <v/>
      </c>
      <c r="AQ63" s="13"/>
      <c r="AR63" s="14">
        <f t="shared" si="40"/>
        <v>0</v>
      </c>
      <c r="AS63" s="13"/>
      <c r="AT63" s="14">
        <f t="shared" si="41"/>
        <v>0</v>
      </c>
      <c r="AU63" s="14">
        <f t="shared" si="42"/>
        <v>0</v>
      </c>
      <c r="AV63" s="13"/>
      <c r="AW63" s="14" t="str">
        <f t="shared" si="43"/>
        <v/>
      </c>
      <c r="AX63" s="13"/>
      <c r="AY63" s="14" t="str">
        <f t="shared" si="44"/>
        <v/>
      </c>
      <c r="AZ63" s="13"/>
      <c r="BA63" s="14" t="str">
        <f t="shared" si="45"/>
        <v/>
      </c>
      <c r="BB63" s="13"/>
      <c r="BC63" s="14">
        <f t="shared" si="46"/>
        <v>0</v>
      </c>
      <c r="BD63" s="14">
        <f t="shared" si="47"/>
        <v>0</v>
      </c>
      <c r="BE63" s="13"/>
      <c r="BF63" s="14" t="str">
        <f t="shared" si="48"/>
        <v/>
      </c>
      <c r="BG63" s="13"/>
      <c r="BH63" s="14" t="str">
        <f t="shared" si="49"/>
        <v/>
      </c>
      <c r="BI63" s="14">
        <f t="shared" si="50"/>
        <v>0</v>
      </c>
      <c r="BJ63" s="14">
        <f t="shared" si="51"/>
        <v>0</v>
      </c>
      <c r="BK63" s="14" t="str">
        <f t="shared" si="52"/>
        <v>LOW RISK</v>
      </c>
      <c r="BL63" s="14" t="str">
        <f t="shared" si="53"/>
        <v/>
      </c>
      <c r="BM63" s="13"/>
      <c r="BN63" s="12"/>
      <c r="BO63" s="13"/>
      <c r="BP63" s="13"/>
      <c r="BQ63" s="13"/>
      <c r="BR63" s="13"/>
      <c r="BS63" s="13"/>
      <c r="BT63" s="13"/>
      <c r="BU63" s="14" t="str">
        <f t="shared" si="54"/>
        <v/>
      </c>
      <c r="BV63" s="13"/>
      <c r="BW63" s="13"/>
      <c r="BX63" s="13"/>
      <c r="BY63" s="13"/>
      <c r="BZ63" s="13"/>
      <c r="CA63" s="13"/>
      <c r="CB63" s="13"/>
      <c r="CC63" s="14" t="str">
        <f t="shared" si="55"/>
        <v/>
      </c>
      <c r="CD63" s="13"/>
      <c r="CE63" s="13"/>
      <c r="CF63" s="12"/>
      <c r="CG63" s="13"/>
      <c r="CH63" s="13"/>
      <c r="CI63" s="13"/>
      <c r="CJ63" s="13"/>
      <c r="CK63" s="13"/>
      <c r="CL63" s="12"/>
      <c r="CM63" s="13"/>
      <c r="CN63" s="13"/>
      <c r="CO63" s="13"/>
      <c r="CP63" s="12"/>
    </row>
    <row r="64" spans="1:94" x14ac:dyDescent="0.2">
      <c r="A64" s="12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4" t="str">
        <f t="shared" si="28"/>
        <v>✓ Clear to Score</v>
      </c>
      <c r="U64" s="13"/>
      <c r="V64" s="13"/>
      <c r="W64" s="14" t="str">
        <f t="shared" si="29"/>
        <v/>
      </c>
      <c r="X64" s="13"/>
      <c r="Y64" s="14" t="str">
        <f t="shared" si="30"/>
        <v/>
      </c>
      <c r="Z64" s="13"/>
      <c r="AA64" s="14" t="str">
        <f t="shared" si="31"/>
        <v/>
      </c>
      <c r="AB64" s="13"/>
      <c r="AC64" s="14" t="str">
        <f t="shared" si="32"/>
        <v/>
      </c>
      <c r="AD64" s="13"/>
      <c r="AE64" s="14">
        <f t="shared" si="33"/>
        <v>0</v>
      </c>
      <c r="AF64" s="14">
        <f t="shared" si="34"/>
        <v>0</v>
      </c>
      <c r="AG64" s="13"/>
      <c r="AH64" s="14" t="str">
        <f t="shared" si="35"/>
        <v/>
      </c>
      <c r="AI64" s="13"/>
      <c r="AJ64" s="14" t="str">
        <f t="shared" si="36"/>
        <v/>
      </c>
      <c r="AK64" s="13"/>
      <c r="AL64" s="14" t="str">
        <f t="shared" si="37"/>
        <v/>
      </c>
      <c r="AM64" s="13"/>
      <c r="AN64" s="14" t="str">
        <f t="shared" si="38"/>
        <v/>
      </c>
      <c r="AO64" s="13"/>
      <c r="AP64" s="14" t="str">
        <f t="shared" si="39"/>
        <v/>
      </c>
      <c r="AQ64" s="13"/>
      <c r="AR64" s="14">
        <f t="shared" si="40"/>
        <v>0</v>
      </c>
      <c r="AS64" s="13"/>
      <c r="AT64" s="14">
        <f t="shared" si="41"/>
        <v>0</v>
      </c>
      <c r="AU64" s="14">
        <f t="shared" si="42"/>
        <v>0</v>
      </c>
      <c r="AV64" s="13"/>
      <c r="AW64" s="14" t="str">
        <f t="shared" si="43"/>
        <v/>
      </c>
      <c r="AX64" s="13"/>
      <c r="AY64" s="14" t="str">
        <f t="shared" si="44"/>
        <v/>
      </c>
      <c r="AZ64" s="13"/>
      <c r="BA64" s="14" t="str">
        <f t="shared" si="45"/>
        <v/>
      </c>
      <c r="BB64" s="13"/>
      <c r="BC64" s="14">
        <f t="shared" si="46"/>
        <v>0</v>
      </c>
      <c r="BD64" s="14">
        <f t="shared" si="47"/>
        <v>0</v>
      </c>
      <c r="BE64" s="13"/>
      <c r="BF64" s="14" t="str">
        <f t="shared" si="48"/>
        <v/>
      </c>
      <c r="BG64" s="13"/>
      <c r="BH64" s="14" t="str">
        <f t="shared" si="49"/>
        <v/>
      </c>
      <c r="BI64" s="14">
        <f t="shared" si="50"/>
        <v>0</v>
      </c>
      <c r="BJ64" s="14">
        <f t="shared" si="51"/>
        <v>0</v>
      </c>
      <c r="BK64" s="14" t="str">
        <f t="shared" si="52"/>
        <v>LOW RISK</v>
      </c>
      <c r="BL64" s="14" t="str">
        <f t="shared" si="53"/>
        <v/>
      </c>
      <c r="BM64" s="13"/>
      <c r="BN64" s="12"/>
      <c r="BO64" s="13"/>
      <c r="BP64" s="13"/>
      <c r="BQ64" s="13"/>
      <c r="BR64" s="13"/>
      <c r="BS64" s="13"/>
      <c r="BT64" s="13"/>
      <c r="BU64" s="14" t="str">
        <f t="shared" si="54"/>
        <v/>
      </c>
      <c r="BV64" s="13"/>
      <c r="BW64" s="13"/>
      <c r="BX64" s="13"/>
      <c r="BY64" s="13"/>
      <c r="BZ64" s="13"/>
      <c r="CA64" s="13"/>
      <c r="CB64" s="13"/>
      <c r="CC64" s="14" t="str">
        <f t="shared" si="55"/>
        <v/>
      </c>
      <c r="CD64" s="13"/>
      <c r="CE64" s="13"/>
      <c r="CF64" s="12"/>
      <c r="CG64" s="13"/>
      <c r="CH64" s="13"/>
      <c r="CI64" s="13"/>
      <c r="CJ64" s="13"/>
      <c r="CK64" s="13"/>
      <c r="CL64" s="12"/>
      <c r="CM64" s="13"/>
      <c r="CN64" s="13"/>
      <c r="CO64" s="13"/>
      <c r="CP64" s="12"/>
    </row>
    <row r="65" spans="1:94" x14ac:dyDescent="0.2">
      <c r="A65" s="12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4" t="str">
        <f t="shared" si="28"/>
        <v>✓ Clear to Score</v>
      </c>
      <c r="U65" s="13"/>
      <c r="V65" s="13"/>
      <c r="W65" s="14" t="str">
        <f t="shared" si="29"/>
        <v/>
      </c>
      <c r="X65" s="13"/>
      <c r="Y65" s="14" t="str">
        <f t="shared" si="30"/>
        <v/>
      </c>
      <c r="Z65" s="13"/>
      <c r="AA65" s="14" t="str">
        <f t="shared" si="31"/>
        <v/>
      </c>
      <c r="AB65" s="13"/>
      <c r="AC65" s="14" t="str">
        <f t="shared" si="32"/>
        <v/>
      </c>
      <c r="AD65" s="13"/>
      <c r="AE65" s="14">
        <f t="shared" si="33"/>
        <v>0</v>
      </c>
      <c r="AF65" s="14">
        <f t="shared" si="34"/>
        <v>0</v>
      </c>
      <c r="AG65" s="13"/>
      <c r="AH65" s="14" t="str">
        <f t="shared" si="35"/>
        <v/>
      </c>
      <c r="AI65" s="13"/>
      <c r="AJ65" s="14" t="str">
        <f t="shared" si="36"/>
        <v/>
      </c>
      <c r="AK65" s="13"/>
      <c r="AL65" s="14" t="str">
        <f t="shared" si="37"/>
        <v/>
      </c>
      <c r="AM65" s="13"/>
      <c r="AN65" s="14" t="str">
        <f t="shared" si="38"/>
        <v/>
      </c>
      <c r="AO65" s="13"/>
      <c r="AP65" s="14" t="str">
        <f t="shared" si="39"/>
        <v/>
      </c>
      <c r="AQ65" s="13"/>
      <c r="AR65" s="14">
        <f t="shared" si="40"/>
        <v>0</v>
      </c>
      <c r="AS65" s="13"/>
      <c r="AT65" s="14">
        <f t="shared" si="41"/>
        <v>0</v>
      </c>
      <c r="AU65" s="14">
        <f t="shared" si="42"/>
        <v>0</v>
      </c>
      <c r="AV65" s="13"/>
      <c r="AW65" s="14" t="str">
        <f t="shared" si="43"/>
        <v/>
      </c>
      <c r="AX65" s="13"/>
      <c r="AY65" s="14" t="str">
        <f t="shared" si="44"/>
        <v/>
      </c>
      <c r="AZ65" s="13"/>
      <c r="BA65" s="14" t="str">
        <f t="shared" si="45"/>
        <v/>
      </c>
      <c r="BB65" s="13"/>
      <c r="BC65" s="14">
        <f t="shared" si="46"/>
        <v>0</v>
      </c>
      <c r="BD65" s="14">
        <f t="shared" si="47"/>
        <v>0</v>
      </c>
      <c r="BE65" s="13"/>
      <c r="BF65" s="14" t="str">
        <f t="shared" si="48"/>
        <v/>
      </c>
      <c r="BG65" s="13"/>
      <c r="BH65" s="14" t="str">
        <f t="shared" si="49"/>
        <v/>
      </c>
      <c r="BI65" s="14">
        <f t="shared" si="50"/>
        <v>0</v>
      </c>
      <c r="BJ65" s="14">
        <f t="shared" si="51"/>
        <v>0</v>
      </c>
      <c r="BK65" s="14" t="str">
        <f t="shared" si="52"/>
        <v>LOW RISK</v>
      </c>
      <c r="BL65" s="14" t="str">
        <f t="shared" si="53"/>
        <v/>
      </c>
      <c r="BM65" s="13"/>
      <c r="BN65" s="12"/>
      <c r="BO65" s="13"/>
      <c r="BP65" s="13"/>
      <c r="BQ65" s="13"/>
      <c r="BR65" s="13"/>
      <c r="BS65" s="13"/>
      <c r="BT65" s="13"/>
      <c r="BU65" s="14" t="str">
        <f t="shared" si="54"/>
        <v/>
      </c>
      <c r="BV65" s="13"/>
      <c r="BW65" s="13"/>
      <c r="BX65" s="13"/>
      <c r="BY65" s="13"/>
      <c r="BZ65" s="13"/>
      <c r="CA65" s="13"/>
      <c r="CB65" s="13"/>
      <c r="CC65" s="14" t="str">
        <f t="shared" si="55"/>
        <v/>
      </c>
      <c r="CD65" s="13"/>
      <c r="CE65" s="13"/>
      <c r="CF65" s="12"/>
      <c r="CG65" s="13"/>
      <c r="CH65" s="13"/>
      <c r="CI65" s="13"/>
      <c r="CJ65" s="13"/>
      <c r="CK65" s="13"/>
      <c r="CL65" s="12"/>
      <c r="CM65" s="13"/>
      <c r="CN65" s="13"/>
      <c r="CO65" s="13"/>
      <c r="CP65" s="12"/>
    </row>
    <row r="66" spans="1:94" x14ac:dyDescent="0.2">
      <c r="A66" s="12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4" t="str">
        <f t="shared" si="28"/>
        <v>✓ Clear to Score</v>
      </c>
      <c r="U66" s="13"/>
      <c r="V66" s="13"/>
      <c r="W66" s="14" t="str">
        <f t="shared" si="29"/>
        <v/>
      </c>
      <c r="X66" s="13"/>
      <c r="Y66" s="14" t="str">
        <f t="shared" si="30"/>
        <v/>
      </c>
      <c r="Z66" s="13"/>
      <c r="AA66" s="14" t="str">
        <f t="shared" si="31"/>
        <v/>
      </c>
      <c r="AB66" s="13"/>
      <c r="AC66" s="14" t="str">
        <f t="shared" si="32"/>
        <v/>
      </c>
      <c r="AD66" s="13"/>
      <c r="AE66" s="14">
        <f t="shared" si="33"/>
        <v>0</v>
      </c>
      <c r="AF66" s="14">
        <f t="shared" si="34"/>
        <v>0</v>
      </c>
      <c r="AG66" s="13"/>
      <c r="AH66" s="14" t="str">
        <f t="shared" si="35"/>
        <v/>
      </c>
      <c r="AI66" s="13"/>
      <c r="AJ66" s="14" t="str">
        <f t="shared" si="36"/>
        <v/>
      </c>
      <c r="AK66" s="13"/>
      <c r="AL66" s="14" t="str">
        <f t="shared" si="37"/>
        <v/>
      </c>
      <c r="AM66" s="13"/>
      <c r="AN66" s="14" t="str">
        <f t="shared" si="38"/>
        <v/>
      </c>
      <c r="AO66" s="13"/>
      <c r="AP66" s="14" t="str">
        <f t="shared" si="39"/>
        <v/>
      </c>
      <c r="AQ66" s="13"/>
      <c r="AR66" s="14">
        <f t="shared" si="40"/>
        <v>0</v>
      </c>
      <c r="AS66" s="13"/>
      <c r="AT66" s="14">
        <f t="shared" si="41"/>
        <v>0</v>
      </c>
      <c r="AU66" s="14">
        <f t="shared" si="42"/>
        <v>0</v>
      </c>
      <c r="AV66" s="13"/>
      <c r="AW66" s="14" t="str">
        <f t="shared" si="43"/>
        <v/>
      </c>
      <c r="AX66" s="13"/>
      <c r="AY66" s="14" t="str">
        <f t="shared" si="44"/>
        <v/>
      </c>
      <c r="AZ66" s="13"/>
      <c r="BA66" s="14" t="str">
        <f t="shared" si="45"/>
        <v/>
      </c>
      <c r="BB66" s="13"/>
      <c r="BC66" s="14">
        <f t="shared" si="46"/>
        <v>0</v>
      </c>
      <c r="BD66" s="14">
        <f t="shared" si="47"/>
        <v>0</v>
      </c>
      <c r="BE66" s="13"/>
      <c r="BF66" s="14" t="str">
        <f t="shared" si="48"/>
        <v/>
      </c>
      <c r="BG66" s="13"/>
      <c r="BH66" s="14" t="str">
        <f t="shared" si="49"/>
        <v/>
      </c>
      <c r="BI66" s="14">
        <f t="shared" si="50"/>
        <v>0</v>
      </c>
      <c r="BJ66" s="14">
        <f t="shared" si="51"/>
        <v>0</v>
      </c>
      <c r="BK66" s="14" t="str">
        <f t="shared" si="52"/>
        <v>LOW RISK</v>
      </c>
      <c r="BL66" s="14" t="str">
        <f t="shared" si="53"/>
        <v/>
      </c>
      <c r="BM66" s="13"/>
      <c r="BN66" s="12"/>
      <c r="BO66" s="13"/>
      <c r="BP66" s="13"/>
      <c r="BQ66" s="13"/>
      <c r="BR66" s="13"/>
      <c r="BS66" s="13"/>
      <c r="BT66" s="13"/>
      <c r="BU66" s="14" t="str">
        <f t="shared" si="54"/>
        <v/>
      </c>
      <c r="BV66" s="13"/>
      <c r="BW66" s="13"/>
      <c r="BX66" s="13"/>
      <c r="BY66" s="13"/>
      <c r="BZ66" s="13"/>
      <c r="CA66" s="13"/>
      <c r="CB66" s="13"/>
      <c r="CC66" s="14" t="str">
        <f t="shared" si="55"/>
        <v/>
      </c>
      <c r="CD66" s="13"/>
      <c r="CE66" s="13"/>
      <c r="CF66" s="12"/>
      <c r="CG66" s="13"/>
      <c r="CH66" s="13"/>
      <c r="CI66" s="13"/>
      <c r="CJ66" s="13"/>
      <c r="CK66" s="13"/>
      <c r="CL66" s="12"/>
      <c r="CM66" s="13"/>
      <c r="CN66" s="13"/>
      <c r="CO66" s="13"/>
      <c r="CP66" s="12"/>
    </row>
    <row r="67" spans="1:94" x14ac:dyDescent="0.2">
      <c r="A67" s="12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4" t="str">
        <f t="shared" ref="T67:T98" si="56">IF(COUNTIF(K67:S67,"Y")&gt;0,"STOP — ABS CI PRESENT","✓ Clear to Score")</f>
        <v>✓ Clear to Score</v>
      </c>
      <c r="U67" s="13"/>
      <c r="V67" s="13"/>
      <c r="W67" s="14" t="str">
        <f t="shared" ref="W67:W98" si="57">IFERROR(IF(V67="","",IF(V67="≥3.5 g/dL",0,IF(V67="3.0-3.49 g/dL",1,IF(V67="2.5-2.99 g/dL",3,0)))),"")</f>
        <v/>
      </c>
      <c r="X67" s="13"/>
      <c r="Y67" s="14" t="str">
        <f t="shared" ref="Y67:Y98" si="58">IFERROR(IF(X67="","",IF(X67="≥18 mg/dL",0,IF(X67="12-17.9 mg/dL",1,2))),"")</f>
        <v/>
      </c>
      <c r="Z67" s="13"/>
      <c r="AA67" s="14" t="str">
        <f t="shared" ref="AA67:AA98" si="59">IFERROR(IF(Z67="","",IF(ISNUMBER(SEARCH("Normal",Z67)),0,IF(ISNUMBER(SEARCH("Borderline",Z67)),1,3))),"")</f>
        <v/>
      </c>
      <c r="AB67" s="13"/>
      <c r="AC67" s="14" t="str">
        <f t="shared" ref="AC67:AC98" si="60">IFERROR(IF(U67="N",0,IF(AB67="","",IF(AB67="0.5-2.0 ng/mL",1,0))),"")</f>
        <v/>
      </c>
      <c r="AD67" s="13"/>
      <c r="AE67" s="14">
        <f t="shared" ref="AE67:AE98" si="61">IFERROR(IF(U67="N",0,IF(AD67="Y",1,0)),"")</f>
        <v>0</v>
      </c>
      <c r="AF67" s="14">
        <f t="shared" ref="AF67:AF98" si="62">IFERROR(SUM(W67,Y67,AA67,AC67,AE67),"")</f>
        <v>0</v>
      </c>
      <c r="AG67" s="13"/>
      <c r="AH67" s="14" t="str">
        <f t="shared" ref="AH67:AH98" si="63">IFERROR(IF(AG67="","",IF(AG67="Ischial",3,IF(AG67="Multiple Sites",1,0))),"")</f>
        <v/>
      </c>
      <c r="AI67" s="13"/>
      <c r="AJ67" s="14" t="str">
        <f t="shared" ref="AJ67:AJ98" si="64">IFERROR(IF(AI67="","",IF(AI67="&lt;50 cm²",0,IF(AI67="50-100 cm²",1,2))),"")</f>
        <v/>
      </c>
      <c r="AK67" s="13"/>
      <c r="AL67" s="14" t="str">
        <f t="shared" ref="AL67:AL98" si="65">IFERROR(IF(AK67="","",IF(AK67="None",0,IF(AK67="Chronic (&gt;4wk + sequestrum/sinus)",1,3))),"")</f>
        <v/>
      </c>
      <c r="AM67" s="13"/>
      <c r="AN67" s="14" t="str">
        <f t="shared" ref="AN67:AN98" si="66">IFERROR(IF(AM67="","",IF(AM67="None",0,IF(AM67="1 prior flap",2,3))),"")</f>
        <v/>
      </c>
      <c r="AO67" s="13"/>
      <c r="AP67" s="14" t="str">
        <f t="shared" ref="AP67:AP98" si="67">IFERROR(IF(AO67="","",IF(AO67="None",0,IF(AO67="Intermittent (not daily)",1,2))),"")</f>
        <v/>
      </c>
      <c r="AQ67" s="13"/>
      <c r="AR67" s="14">
        <f t="shared" ref="AR67:AR98" si="68">IFERROR(IF(OR(AG67="Lower Extremity",AG67="Multiple Sites"),IF(AQ67="Y",1,0),0),"")</f>
        <v>0</v>
      </c>
      <c r="AS67" s="13"/>
      <c r="AT67" s="14">
        <f t="shared" ref="AT67:AT98" si="69">IFERROR(IF(AS67="Y",1,0),"")</f>
        <v>0</v>
      </c>
      <c r="AU67" s="14">
        <f t="shared" ref="AU67:AU98" si="70">IFERROR(SUM(AH67,AJ67,AL67,AN67,AP67,AR67,AT67),"")</f>
        <v>0</v>
      </c>
      <c r="AV67" s="13"/>
      <c r="AW67" s="14" t="str">
        <f t="shared" ref="AW67:AW98" si="71">IFERROR(IF(AV67="","",IF(AV67="No diabetes / HbA1c &lt;7.0%",0,IF(AV67="HbA1c 7.0-7.9%",1,2))),"")</f>
        <v/>
      </c>
      <c r="AX67" s="13"/>
      <c r="AY67" s="14" t="str">
        <f t="shared" ref="AY67:AY98" si="72">IFERROR(IF(AX67="","",IF(AX67="Never / Former (&gt;6mo abstinence)",0,2)),"")</f>
        <v/>
      </c>
      <c r="AZ67" s="13"/>
      <c r="BA67" s="14" t="str">
        <f t="shared" ref="BA67:BA98" si="73">IFERROR(IF(AZ67="","",IF(AZ67="None",0,IF(AZ67="One stable condition",1,2))),"")</f>
        <v/>
      </c>
      <c r="BB67" s="13"/>
      <c r="BC67" s="14">
        <f t="shared" ref="BC67:BC98" si="74">IFERROR(IF(BB67="Y",2,0),"")</f>
        <v>0</v>
      </c>
      <c r="BD67" s="14">
        <f t="shared" ref="BD67:BD98" si="75">IFERROR(SUM(AW67,AY67,BA67,BC67),"")</f>
        <v>0</v>
      </c>
      <c r="BE67" s="13"/>
      <c r="BF67" s="14" t="str">
        <f t="shared" ref="BF67:BF98" si="76">IFERROR(IF(BE67="","",IF(BE67="Ambulatory",0,IF(BE67="Wheelchair w/ cushions",1,IF(BE67="Bedbound w/ offloading mattress",2,3)))),"")</f>
        <v/>
      </c>
      <c r="BG67" s="13"/>
      <c r="BH67" s="14" t="str">
        <f t="shared" ref="BH67:BH98" si="77">IFERROR(IF(BG67="","",IF(BG67="Reliable 24/7 care",0,IF(BG67="Some support — inconsistent",2,0))),"")</f>
        <v/>
      </c>
      <c r="BI67" s="14">
        <f t="shared" ref="BI67:BI98" si="78">IFERROR(SUM(BF67,BH67),"")</f>
        <v>0</v>
      </c>
      <c r="BJ67" s="14">
        <f t="shared" ref="BJ67:BJ98" si="79">IFERROR(IF(COUNTA(AF67,AU67,BD67,BI67)=0,"",SUM(AF67,AU67,BD67,BI67)),"")</f>
        <v>0</v>
      </c>
      <c r="BK67" s="14" t="str">
        <f t="shared" ref="BK67:BK98" si="80">IFERROR(IF(BJ67="","",IF(BJ67&lt;6,"LOW RISK",IF(BJ67&lt;13,"MODERATE RISK",IF(BJ67&lt;20,"HIGH RISK","NOT AN IDEAL CANDIDATE")))),"")</f>
        <v>LOW RISK</v>
      </c>
      <c r="BL67" s="14" t="str">
        <f t="shared" ref="BL67:BL98" si="81">IFERROR(_xlfn.SINGLE(_xlfn.TEXTJOIN(", ", TRUE(), IF(V67 = "&lt;2.5 g/dL (Abs CI)", "Albumin CI", ""), IF(AB67 = "&gt;2.0 or Sepsis (Abs CI)", "PCT CI", ""), IF(BG67 = "No support (Functional CI)", "Functional CI", ""))), "")</f>
        <v/>
      </c>
      <c r="BM67" s="13"/>
      <c r="BN67" s="12"/>
      <c r="BO67" s="13"/>
      <c r="BP67" s="13"/>
      <c r="BQ67" s="13"/>
      <c r="BR67" s="13"/>
      <c r="BS67" s="13"/>
      <c r="BT67" s="13"/>
      <c r="BU67" s="14" t="str">
        <f t="shared" ref="BU67:BU98" si="82">IFERROR(IF(BT67="","",IF(BT67&lt;6,"LOW RISK",IF(BT67&lt;13,"MODERATE RISK",IF(BT67&lt;20,"HIGH RISK","NOT AN IDEAL CANDIDATE")))),"")</f>
        <v/>
      </c>
      <c r="BV67" s="13"/>
      <c r="BW67" s="13"/>
      <c r="BX67" s="13"/>
      <c r="BY67" s="13"/>
      <c r="BZ67" s="13"/>
      <c r="CA67" s="13"/>
      <c r="CB67" s="13"/>
      <c r="CC67" s="14" t="str">
        <f t="shared" ref="CC67:CC98" si="83">IFERROR(IF(COUNTA(BV67:CB67)=0,"",IF(COUNTIF(BV67:CB67,"Y")&gt;0,"YES — EVENT","NO event")),"")</f>
        <v/>
      </c>
      <c r="CD67" s="13"/>
      <c r="CE67" s="13"/>
      <c r="CF67" s="12"/>
      <c r="CG67" s="13"/>
      <c r="CH67" s="13"/>
      <c r="CI67" s="13"/>
      <c r="CJ67" s="13"/>
      <c r="CK67" s="13"/>
      <c r="CL67" s="12"/>
      <c r="CM67" s="13"/>
      <c r="CN67" s="13"/>
      <c r="CO67" s="13"/>
      <c r="CP67" s="12"/>
    </row>
    <row r="68" spans="1:94" x14ac:dyDescent="0.2">
      <c r="A68" s="12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4" t="str">
        <f t="shared" si="56"/>
        <v>✓ Clear to Score</v>
      </c>
      <c r="U68" s="13"/>
      <c r="V68" s="13"/>
      <c r="W68" s="14" t="str">
        <f t="shared" si="57"/>
        <v/>
      </c>
      <c r="X68" s="13"/>
      <c r="Y68" s="14" t="str">
        <f t="shared" si="58"/>
        <v/>
      </c>
      <c r="Z68" s="13"/>
      <c r="AA68" s="14" t="str">
        <f t="shared" si="59"/>
        <v/>
      </c>
      <c r="AB68" s="13"/>
      <c r="AC68" s="14" t="str">
        <f t="shared" si="60"/>
        <v/>
      </c>
      <c r="AD68" s="13"/>
      <c r="AE68" s="14">
        <f t="shared" si="61"/>
        <v>0</v>
      </c>
      <c r="AF68" s="14">
        <f t="shared" si="62"/>
        <v>0</v>
      </c>
      <c r="AG68" s="13"/>
      <c r="AH68" s="14" t="str">
        <f t="shared" si="63"/>
        <v/>
      </c>
      <c r="AI68" s="13"/>
      <c r="AJ68" s="14" t="str">
        <f t="shared" si="64"/>
        <v/>
      </c>
      <c r="AK68" s="13"/>
      <c r="AL68" s="14" t="str">
        <f t="shared" si="65"/>
        <v/>
      </c>
      <c r="AM68" s="13"/>
      <c r="AN68" s="14" t="str">
        <f t="shared" si="66"/>
        <v/>
      </c>
      <c r="AO68" s="13"/>
      <c r="AP68" s="14" t="str">
        <f t="shared" si="67"/>
        <v/>
      </c>
      <c r="AQ68" s="13"/>
      <c r="AR68" s="14">
        <f t="shared" si="68"/>
        <v>0</v>
      </c>
      <c r="AS68" s="13"/>
      <c r="AT68" s="14">
        <f t="shared" si="69"/>
        <v>0</v>
      </c>
      <c r="AU68" s="14">
        <f t="shared" si="70"/>
        <v>0</v>
      </c>
      <c r="AV68" s="13"/>
      <c r="AW68" s="14" t="str">
        <f t="shared" si="71"/>
        <v/>
      </c>
      <c r="AX68" s="13"/>
      <c r="AY68" s="14" t="str">
        <f t="shared" si="72"/>
        <v/>
      </c>
      <c r="AZ68" s="13"/>
      <c r="BA68" s="14" t="str">
        <f t="shared" si="73"/>
        <v/>
      </c>
      <c r="BB68" s="13"/>
      <c r="BC68" s="14">
        <f t="shared" si="74"/>
        <v>0</v>
      </c>
      <c r="BD68" s="14">
        <f t="shared" si="75"/>
        <v>0</v>
      </c>
      <c r="BE68" s="13"/>
      <c r="BF68" s="14" t="str">
        <f t="shared" si="76"/>
        <v/>
      </c>
      <c r="BG68" s="13"/>
      <c r="BH68" s="14" t="str">
        <f t="shared" si="77"/>
        <v/>
      </c>
      <c r="BI68" s="14">
        <f t="shared" si="78"/>
        <v>0</v>
      </c>
      <c r="BJ68" s="14">
        <f t="shared" si="79"/>
        <v>0</v>
      </c>
      <c r="BK68" s="14" t="str">
        <f t="shared" si="80"/>
        <v>LOW RISK</v>
      </c>
      <c r="BL68" s="14" t="str">
        <f t="shared" si="81"/>
        <v/>
      </c>
      <c r="BM68" s="13"/>
      <c r="BN68" s="12"/>
      <c r="BO68" s="13"/>
      <c r="BP68" s="13"/>
      <c r="BQ68" s="13"/>
      <c r="BR68" s="13"/>
      <c r="BS68" s="13"/>
      <c r="BT68" s="13"/>
      <c r="BU68" s="14" t="str">
        <f t="shared" si="82"/>
        <v/>
      </c>
      <c r="BV68" s="13"/>
      <c r="BW68" s="13"/>
      <c r="BX68" s="13"/>
      <c r="BY68" s="13"/>
      <c r="BZ68" s="13"/>
      <c r="CA68" s="13"/>
      <c r="CB68" s="13"/>
      <c r="CC68" s="14" t="str">
        <f t="shared" si="83"/>
        <v/>
      </c>
      <c r="CD68" s="13"/>
      <c r="CE68" s="13"/>
      <c r="CF68" s="12"/>
      <c r="CG68" s="13"/>
      <c r="CH68" s="13"/>
      <c r="CI68" s="13"/>
      <c r="CJ68" s="13"/>
      <c r="CK68" s="13"/>
      <c r="CL68" s="12"/>
      <c r="CM68" s="13"/>
      <c r="CN68" s="13"/>
      <c r="CO68" s="13"/>
      <c r="CP68" s="12"/>
    </row>
    <row r="69" spans="1:94" x14ac:dyDescent="0.2">
      <c r="A69" s="12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4" t="str">
        <f t="shared" si="56"/>
        <v>✓ Clear to Score</v>
      </c>
      <c r="U69" s="13"/>
      <c r="V69" s="13"/>
      <c r="W69" s="14" t="str">
        <f t="shared" si="57"/>
        <v/>
      </c>
      <c r="X69" s="13"/>
      <c r="Y69" s="14" t="str">
        <f t="shared" si="58"/>
        <v/>
      </c>
      <c r="Z69" s="13"/>
      <c r="AA69" s="14" t="str">
        <f t="shared" si="59"/>
        <v/>
      </c>
      <c r="AB69" s="13"/>
      <c r="AC69" s="14" t="str">
        <f t="shared" si="60"/>
        <v/>
      </c>
      <c r="AD69" s="13"/>
      <c r="AE69" s="14">
        <f t="shared" si="61"/>
        <v>0</v>
      </c>
      <c r="AF69" s="14">
        <f t="shared" si="62"/>
        <v>0</v>
      </c>
      <c r="AG69" s="13"/>
      <c r="AH69" s="14" t="str">
        <f t="shared" si="63"/>
        <v/>
      </c>
      <c r="AI69" s="13"/>
      <c r="AJ69" s="14" t="str">
        <f t="shared" si="64"/>
        <v/>
      </c>
      <c r="AK69" s="13"/>
      <c r="AL69" s="14" t="str">
        <f t="shared" si="65"/>
        <v/>
      </c>
      <c r="AM69" s="13"/>
      <c r="AN69" s="14" t="str">
        <f t="shared" si="66"/>
        <v/>
      </c>
      <c r="AO69" s="13"/>
      <c r="AP69" s="14" t="str">
        <f t="shared" si="67"/>
        <v/>
      </c>
      <c r="AQ69" s="13"/>
      <c r="AR69" s="14">
        <f t="shared" si="68"/>
        <v>0</v>
      </c>
      <c r="AS69" s="13"/>
      <c r="AT69" s="14">
        <f t="shared" si="69"/>
        <v>0</v>
      </c>
      <c r="AU69" s="14">
        <f t="shared" si="70"/>
        <v>0</v>
      </c>
      <c r="AV69" s="13"/>
      <c r="AW69" s="14" t="str">
        <f t="shared" si="71"/>
        <v/>
      </c>
      <c r="AX69" s="13"/>
      <c r="AY69" s="14" t="str">
        <f t="shared" si="72"/>
        <v/>
      </c>
      <c r="AZ69" s="13"/>
      <c r="BA69" s="14" t="str">
        <f t="shared" si="73"/>
        <v/>
      </c>
      <c r="BB69" s="13"/>
      <c r="BC69" s="14">
        <f t="shared" si="74"/>
        <v>0</v>
      </c>
      <c r="BD69" s="14">
        <f t="shared" si="75"/>
        <v>0</v>
      </c>
      <c r="BE69" s="13"/>
      <c r="BF69" s="14" t="str">
        <f t="shared" si="76"/>
        <v/>
      </c>
      <c r="BG69" s="13"/>
      <c r="BH69" s="14" t="str">
        <f t="shared" si="77"/>
        <v/>
      </c>
      <c r="BI69" s="14">
        <f t="shared" si="78"/>
        <v>0</v>
      </c>
      <c r="BJ69" s="14">
        <f t="shared" si="79"/>
        <v>0</v>
      </c>
      <c r="BK69" s="14" t="str">
        <f t="shared" si="80"/>
        <v>LOW RISK</v>
      </c>
      <c r="BL69" s="14" t="str">
        <f t="shared" si="81"/>
        <v/>
      </c>
      <c r="BM69" s="13"/>
      <c r="BN69" s="12"/>
      <c r="BO69" s="13"/>
      <c r="BP69" s="13"/>
      <c r="BQ69" s="13"/>
      <c r="BR69" s="13"/>
      <c r="BS69" s="13"/>
      <c r="BT69" s="13"/>
      <c r="BU69" s="14" t="str">
        <f t="shared" si="82"/>
        <v/>
      </c>
      <c r="BV69" s="13"/>
      <c r="BW69" s="13"/>
      <c r="BX69" s="13"/>
      <c r="BY69" s="13"/>
      <c r="BZ69" s="13"/>
      <c r="CA69" s="13"/>
      <c r="CB69" s="13"/>
      <c r="CC69" s="14" t="str">
        <f t="shared" si="83"/>
        <v/>
      </c>
      <c r="CD69" s="13"/>
      <c r="CE69" s="13"/>
      <c r="CF69" s="12"/>
      <c r="CG69" s="13"/>
      <c r="CH69" s="13"/>
      <c r="CI69" s="13"/>
      <c r="CJ69" s="13"/>
      <c r="CK69" s="13"/>
      <c r="CL69" s="12"/>
      <c r="CM69" s="13"/>
      <c r="CN69" s="13"/>
      <c r="CO69" s="13"/>
      <c r="CP69" s="12"/>
    </row>
    <row r="70" spans="1:94" x14ac:dyDescent="0.2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4" t="str">
        <f t="shared" si="56"/>
        <v>✓ Clear to Score</v>
      </c>
      <c r="U70" s="13"/>
      <c r="V70" s="13"/>
      <c r="W70" s="14" t="str">
        <f t="shared" si="57"/>
        <v/>
      </c>
      <c r="X70" s="13"/>
      <c r="Y70" s="14" t="str">
        <f t="shared" si="58"/>
        <v/>
      </c>
      <c r="Z70" s="13"/>
      <c r="AA70" s="14" t="str">
        <f t="shared" si="59"/>
        <v/>
      </c>
      <c r="AB70" s="13"/>
      <c r="AC70" s="14" t="str">
        <f t="shared" si="60"/>
        <v/>
      </c>
      <c r="AD70" s="13"/>
      <c r="AE70" s="14">
        <f t="shared" si="61"/>
        <v>0</v>
      </c>
      <c r="AF70" s="14">
        <f t="shared" si="62"/>
        <v>0</v>
      </c>
      <c r="AG70" s="13"/>
      <c r="AH70" s="14" t="str">
        <f t="shared" si="63"/>
        <v/>
      </c>
      <c r="AI70" s="13"/>
      <c r="AJ70" s="14" t="str">
        <f t="shared" si="64"/>
        <v/>
      </c>
      <c r="AK70" s="13"/>
      <c r="AL70" s="14" t="str">
        <f t="shared" si="65"/>
        <v/>
      </c>
      <c r="AM70" s="13"/>
      <c r="AN70" s="14" t="str">
        <f t="shared" si="66"/>
        <v/>
      </c>
      <c r="AO70" s="13"/>
      <c r="AP70" s="14" t="str">
        <f t="shared" si="67"/>
        <v/>
      </c>
      <c r="AQ70" s="13"/>
      <c r="AR70" s="14">
        <f t="shared" si="68"/>
        <v>0</v>
      </c>
      <c r="AS70" s="13"/>
      <c r="AT70" s="14">
        <f t="shared" si="69"/>
        <v>0</v>
      </c>
      <c r="AU70" s="14">
        <f t="shared" si="70"/>
        <v>0</v>
      </c>
      <c r="AV70" s="13"/>
      <c r="AW70" s="14" t="str">
        <f t="shared" si="71"/>
        <v/>
      </c>
      <c r="AX70" s="13"/>
      <c r="AY70" s="14" t="str">
        <f t="shared" si="72"/>
        <v/>
      </c>
      <c r="AZ70" s="13"/>
      <c r="BA70" s="14" t="str">
        <f t="shared" si="73"/>
        <v/>
      </c>
      <c r="BB70" s="13"/>
      <c r="BC70" s="14">
        <f t="shared" si="74"/>
        <v>0</v>
      </c>
      <c r="BD70" s="14">
        <f t="shared" si="75"/>
        <v>0</v>
      </c>
      <c r="BE70" s="13"/>
      <c r="BF70" s="14" t="str">
        <f t="shared" si="76"/>
        <v/>
      </c>
      <c r="BG70" s="13"/>
      <c r="BH70" s="14" t="str">
        <f t="shared" si="77"/>
        <v/>
      </c>
      <c r="BI70" s="14">
        <f t="shared" si="78"/>
        <v>0</v>
      </c>
      <c r="BJ70" s="14">
        <f t="shared" si="79"/>
        <v>0</v>
      </c>
      <c r="BK70" s="14" t="str">
        <f t="shared" si="80"/>
        <v>LOW RISK</v>
      </c>
      <c r="BL70" s="14" t="str">
        <f t="shared" si="81"/>
        <v/>
      </c>
      <c r="BM70" s="13"/>
      <c r="BN70" s="12"/>
      <c r="BO70" s="13"/>
      <c r="BP70" s="13"/>
      <c r="BQ70" s="13"/>
      <c r="BR70" s="13"/>
      <c r="BS70" s="13"/>
      <c r="BT70" s="13"/>
      <c r="BU70" s="14" t="str">
        <f t="shared" si="82"/>
        <v/>
      </c>
      <c r="BV70" s="13"/>
      <c r="BW70" s="13"/>
      <c r="BX70" s="13"/>
      <c r="BY70" s="13"/>
      <c r="BZ70" s="13"/>
      <c r="CA70" s="13"/>
      <c r="CB70" s="13"/>
      <c r="CC70" s="14" t="str">
        <f t="shared" si="83"/>
        <v/>
      </c>
      <c r="CD70" s="13"/>
      <c r="CE70" s="13"/>
      <c r="CF70" s="12"/>
      <c r="CG70" s="13"/>
      <c r="CH70" s="13"/>
      <c r="CI70" s="13"/>
      <c r="CJ70" s="13"/>
      <c r="CK70" s="13"/>
      <c r="CL70" s="12"/>
      <c r="CM70" s="13"/>
      <c r="CN70" s="13"/>
      <c r="CO70" s="13"/>
      <c r="CP70" s="12"/>
    </row>
    <row r="71" spans="1:94" x14ac:dyDescent="0.2">
      <c r="A71" s="12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4" t="str">
        <f t="shared" si="56"/>
        <v>✓ Clear to Score</v>
      </c>
      <c r="U71" s="13"/>
      <c r="V71" s="13"/>
      <c r="W71" s="14" t="str">
        <f t="shared" si="57"/>
        <v/>
      </c>
      <c r="X71" s="13"/>
      <c r="Y71" s="14" t="str">
        <f t="shared" si="58"/>
        <v/>
      </c>
      <c r="Z71" s="13"/>
      <c r="AA71" s="14" t="str">
        <f t="shared" si="59"/>
        <v/>
      </c>
      <c r="AB71" s="13"/>
      <c r="AC71" s="14" t="str">
        <f t="shared" si="60"/>
        <v/>
      </c>
      <c r="AD71" s="13"/>
      <c r="AE71" s="14">
        <f t="shared" si="61"/>
        <v>0</v>
      </c>
      <c r="AF71" s="14">
        <f t="shared" si="62"/>
        <v>0</v>
      </c>
      <c r="AG71" s="13"/>
      <c r="AH71" s="14" t="str">
        <f t="shared" si="63"/>
        <v/>
      </c>
      <c r="AI71" s="13"/>
      <c r="AJ71" s="14" t="str">
        <f t="shared" si="64"/>
        <v/>
      </c>
      <c r="AK71" s="13"/>
      <c r="AL71" s="14" t="str">
        <f t="shared" si="65"/>
        <v/>
      </c>
      <c r="AM71" s="13"/>
      <c r="AN71" s="14" t="str">
        <f t="shared" si="66"/>
        <v/>
      </c>
      <c r="AO71" s="13"/>
      <c r="AP71" s="14" t="str">
        <f t="shared" si="67"/>
        <v/>
      </c>
      <c r="AQ71" s="13"/>
      <c r="AR71" s="14">
        <f t="shared" si="68"/>
        <v>0</v>
      </c>
      <c r="AS71" s="13"/>
      <c r="AT71" s="14">
        <f t="shared" si="69"/>
        <v>0</v>
      </c>
      <c r="AU71" s="14">
        <f t="shared" si="70"/>
        <v>0</v>
      </c>
      <c r="AV71" s="13"/>
      <c r="AW71" s="14" t="str">
        <f t="shared" si="71"/>
        <v/>
      </c>
      <c r="AX71" s="13"/>
      <c r="AY71" s="14" t="str">
        <f t="shared" si="72"/>
        <v/>
      </c>
      <c r="AZ71" s="13"/>
      <c r="BA71" s="14" t="str">
        <f t="shared" si="73"/>
        <v/>
      </c>
      <c r="BB71" s="13"/>
      <c r="BC71" s="14">
        <f t="shared" si="74"/>
        <v>0</v>
      </c>
      <c r="BD71" s="14">
        <f t="shared" si="75"/>
        <v>0</v>
      </c>
      <c r="BE71" s="13"/>
      <c r="BF71" s="14" t="str">
        <f t="shared" si="76"/>
        <v/>
      </c>
      <c r="BG71" s="13"/>
      <c r="BH71" s="14" t="str">
        <f t="shared" si="77"/>
        <v/>
      </c>
      <c r="BI71" s="14">
        <f t="shared" si="78"/>
        <v>0</v>
      </c>
      <c r="BJ71" s="14">
        <f t="shared" si="79"/>
        <v>0</v>
      </c>
      <c r="BK71" s="14" t="str">
        <f t="shared" si="80"/>
        <v>LOW RISK</v>
      </c>
      <c r="BL71" s="14" t="str">
        <f t="shared" si="81"/>
        <v/>
      </c>
      <c r="BM71" s="13"/>
      <c r="BN71" s="12"/>
      <c r="BO71" s="13"/>
      <c r="BP71" s="13"/>
      <c r="BQ71" s="13"/>
      <c r="BR71" s="13"/>
      <c r="BS71" s="13"/>
      <c r="BT71" s="13"/>
      <c r="BU71" s="14" t="str">
        <f t="shared" si="82"/>
        <v/>
      </c>
      <c r="BV71" s="13"/>
      <c r="BW71" s="13"/>
      <c r="BX71" s="13"/>
      <c r="BY71" s="13"/>
      <c r="BZ71" s="13"/>
      <c r="CA71" s="13"/>
      <c r="CB71" s="13"/>
      <c r="CC71" s="14" t="str">
        <f t="shared" si="83"/>
        <v/>
      </c>
      <c r="CD71" s="13"/>
      <c r="CE71" s="13"/>
      <c r="CF71" s="12"/>
      <c r="CG71" s="13"/>
      <c r="CH71" s="13"/>
      <c r="CI71" s="13"/>
      <c r="CJ71" s="13"/>
      <c r="CK71" s="13"/>
      <c r="CL71" s="12"/>
      <c r="CM71" s="13"/>
      <c r="CN71" s="13"/>
      <c r="CO71" s="13"/>
      <c r="CP71" s="12"/>
    </row>
    <row r="72" spans="1:94" x14ac:dyDescent="0.2">
      <c r="A72" s="12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4" t="str">
        <f t="shared" si="56"/>
        <v>✓ Clear to Score</v>
      </c>
      <c r="U72" s="13"/>
      <c r="V72" s="13"/>
      <c r="W72" s="14" t="str">
        <f t="shared" si="57"/>
        <v/>
      </c>
      <c r="X72" s="13"/>
      <c r="Y72" s="14" t="str">
        <f t="shared" si="58"/>
        <v/>
      </c>
      <c r="Z72" s="13"/>
      <c r="AA72" s="14" t="str">
        <f t="shared" si="59"/>
        <v/>
      </c>
      <c r="AB72" s="13"/>
      <c r="AC72" s="14" t="str">
        <f t="shared" si="60"/>
        <v/>
      </c>
      <c r="AD72" s="13"/>
      <c r="AE72" s="14">
        <f t="shared" si="61"/>
        <v>0</v>
      </c>
      <c r="AF72" s="14">
        <f t="shared" si="62"/>
        <v>0</v>
      </c>
      <c r="AG72" s="13"/>
      <c r="AH72" s="14" t="str">
        <f t="shared" si="63"/>
        <v/>
      </c>
      <c r="AI72" s="13"/>
      <c r="AJ72" s="14" t="str">
        <f t="shared" si="64"/>
        <v/>
      </c>
      <c r="AK72" s="13"/>
      <c r="AL72" s="14" t="str">
        <f t="shared" si="65"/>
        <v/>
      </c>
      <c r="AM72" s="13"/>
      <c r="AN72" s="14" t="str">
        <f t="shared" si="66"/>
        <v/>
      </c>
      <c r="AO72" s="13"/>
      <c r="AP72" s="14" t="str">
        <f t="shared" si="67"/>
        <v/>
      </c>
      <c r="AQ72" s="13"/>
      <c r="AR72" s="14">
        <f t="shared" si="68"/>
        <v>0</v>
      </c>
      <c r="AS72" s="13"/>
      <c r="AT72" s="14">
        <f t="shared" si="69"/>
        <v>0</v>
      </c>
      <c r="AU72" s="14">
        <f t="shared" si="70"/>
        <v>0</v>
      </c>
      <c r="AV72" s="13"/>
      <c r="AW72" s="14" t="str">
        <f t="shared" si="71"/>
        <v/>
      </c>
      <c r="AX72" s="13"/>
      <c r="AY72" s="14" t="str">
        <f t="shared" si="72"/>
        <v/>
      </c>
      <c r="AZ72" s="13"/>
      <c r="BA72" s="14" t="str">
        <f t="shared" si="73"/>
        <v/>
      </c>
      <c r="BB72" s="13"/>
      <c r="BC72" s="14">
        <f t="shared" si="74"/>
        <v>0</v>
      </c>
      <c r="BD72" s="14">
        <f t="shared" si="75"/>
        <v>0</v>
      </c>
      <c r="BE72" s="13"/>
      <c r="BF72" s="14" t="str">
        <f t="shared" si="76"/>
        <v/>
      </c>
      <c r="BG72" s="13"/>
      <c r="BH72" s="14" t="str">
        <f t="shared" si="77"/>
        <v/>
      </c>
      <c r="BI72" s="14">
        <f t="shared" si="78"/>
        <v>0</v>
      </c>
      <c r="BJ72" s="14">
        <f t="shared" si="79"/>
        <v>0</v>
      </c>
      <c r="BK72" s="14" t="str">
        <f t="shared" si="80"/>
        <v>LOW RISK</v>
      </c>
      <c r="BL72" s="14" t="str">
        <f t="shared" si="81"/>
        <v/>
      </c>
      <c r="BM72" s="13"/>
      <c r="BN72" s="12"/>
      <c r="BO72" s="13"/>
      <c r="BP72" s="13"/>
      <c r="BQ72" s="13"/>
      <c r="BR72" s="13"/>
      <c r="BS72" s="13"/>
      <c r="BT72" s="13"/>
      <c r="BU72" s="14" t="str">
        <f t="shared" si="82"/>
        <v/>
      </c>
      <c r="BV72" s="13"/>
      <c r="BW72" s="13"/>
      <c r="BX72" s="13"/>
      <c r="BY72" s="13"/>
      <c r="BZ72" s="13"/>
      <c r="CA72" s="13"/>
      <c r="CB72" s="13"/>
      <c r="CC72" s="14" t="str">
        <f t="shared" si="83"/>
        <v/>
      </c>
      <c r="CD72" s="13"/>
      <c r="CE72" s="13"/>
      <c r="CF72" s="12"/>
      <c r="CG72" s="13"/>
      <c r="CH72" s="13"/>
      <c r="CI72" s="13"/>
      <c r="CJ72" s="13"/>
      <c r="CK72" s="13"/>
      <c r="CL72" s="12"/>
      <c r="CM72" s="13"/>
      <c r="CN72" s="13"/>
      <c r="CO72" s="13"/>
      <c r="CP72" s="12"/>
    </row>
    <row r="73" spans="1:94" x14ac:dyDescent="0.2">
      <c r="A73" s="12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4" t="str">
        <f t="shared" si="56"/>
        <v>✓ Clear to Score</v>
      </c>
      <c r="U73" s="13"/>
      <c r="V73" s="13"/>
      <c r="W73" s="14" t="str">
        <f t="shared" si="57"/>
        <v/>
      </c>
      <c r="X73" s="13"/>
      <c r="Y73" s="14" t="str">
        <f t="shared" si="58"/>
        <v/>
      </c>
      <c r="Z73" s="13"/>
      <c r="AA73" s="14" t="str">
        <f t="shared" si="59"/>
        <v/>
      </c>
      <c r="AB73" s="13"/>
      <c r="AC73" s="14" t="str">
        <f t="shared" si="60"/>
        <v/>
      </c>
      <c r="AD73" s="13"/>
      <c r="AE73" s="14">
        <f t="shared" si="61"/>
        <v>0</v>
      </c>
      <c r="AF73" s="14">
        <f t="shared" si="62"/>
        <v>0</v>
      </c>
      <c r="AG73" s="13"/>
      <c r="AH73" s="14" t="str">
        <f t="shared" si="63"/>
        <v/>
      </c>
      <c r="AI73" s="13"/>
      <c r="AJ73" s="14" t="str">
        <f t="shared" si="64"/>
        <v/>
      </c>
      <c r="AK73" s="13"/>
      <c r="AL73" s="14" t="str">
        <f t="shared" si="65"/>
        <v/>
      </c>
      <c r="AM73" s="13"/>
      <c r="AN73" s="14" t="str">
        <f t="shared" si="66"/>
        <v/>
      </c>
      <c r="AO73" s="13"/>
      <c r="AP73" s="14" t="str">
        <f t="shared" si="67"/>
        <v/>
      </c>
      <c r="AQ73" s="13"/>
      <c r="AR73" s="14">
        <f t="shared" si="68"/>
        <v>0</v>
      </c>
      <c r="AS73" s="13"/>
      <c r="AT73" s="14">
        <f t="shared" si="69"/>
        <v>0</v>
      </c>
      <c r="AU73" s="14">
        <f t="shared" si="70"/>
        <v>0</v>
      </c>
      <c r="AV73" s="13"/>
      <c r="AW73" s="14" t="str">
        <f t="shared" si="71"/>
        <v/>
      </c>
      <c r="AX73" s="13"/>
      <c r="AY73" s="14" t="str">
        <f t="shared" si="72"/>
        <v/>
      </c>
      <c r="AZ73" s="13"/>
      <c r="BA73" s="14" t="str">
        <f t="shared" si="73"/>
        <v/>
      </c>
      <c r="BB73" s="13"/>
      <c r="BC73" s="14">
        <f t="shared" si="74"/>
        <v>0</v>
      </c>
      <c r="BD73" s="14">
        <f t="shared" si="75"/>
        <v>0</v>
      </c>
      <c r="BE73" s="13"/>
      <c r="BF73" s="14" t="str">
        <f t="shared" si="76"/>
        <v/>
      </c>
      <c r="BG73" s="13"/>
      <c r="BH73" s="14" t="str">
        <f t="shared" si="77"/>
        <v/>
      </c>
      <c r="BI73" s="14">
        <f t="shared" si="78"/>
        <v>0</v>
      </c>
      <c r="BJ73" s="14">
        <f t="shared" si="79"/>
        <v>0</v>
      </c>
      <c r="BK73" s="14" t="str">
        <f t="shared" si="80"/>
        <v>LOW RISK</v>
      </c>
      <c r="BL73" s="14" t="str">
        <f t="shared" si="81"/>
        <v/>
      </c>
      <c r="BM73" s="13"/>
      <c r="BN73" s="12"/>
      <c r="BO73" s="13"/>
      <c r="BP73" s="13"/>
      <c r="BQ73" s="13"/>
      <c r="BR73" s="13"/>
      <c r="BS73" s="13"/>
      <c r="BT73" s="13"/>
      <c r="BU73" s="14" t="str">
        <f t="shared" si="82"/>
        <v/>
      </c>
      <c r="BV73" s="13"/>
      <c r="BW73" s="13"/>
      <c r="BX73" s="13"/>
      <c r="BY73" s="13"/>
      <c r="BZ73" s="13"/>
      <c r="CA73" s="13"/>
      <c r="CB73" s="13"/>
      <c r="CC73" s="14" t="str">
        <f t="shared" si="83"/>
        <v/>
      </c>
      <c r="CD73" s="13"/>
      <c r="CE73" s="13"/>
      <c r="CF73" s="12"/>
      <c r="CG73" s="13"/>
      <c r="CH73" s="13"/>
      <c r="CI73" s="13"/>
      <c r="CJ73" s="13"/>
      <c r="CK73" s="13"/>
      <c r="CL73" s="12"/>
      <c r="CM73" s="13"/>
      <c r="CN73" s="13"/>
      <c r="CO73" s="13"/>
      <c r="CP73" s="12"/>
    </row>
    <row r="74" spans="1:94" x14ac:dyDescent="0.2">
      <c r="A74" s="12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4" t="str">
        <f t="shared" si="56"/>
        <v>✓ Clear to Score</v>
      </c>
      <c r="U74" s="13"/>
      <c r="V74" s="13"/>
      <c r="W74" s="14" t="str">
        <f t="shared" si="57"/>
        <v/>
      </c>
      <c r="X74" s="13"/>
      <c r="Y74" s="14" t="str">
        <f t="shared" si="58"/>
        <v/>
      </c>
      <c r="Z74" s="13"/>
      <c r="AA74" s="14" t="str">
        <f t="shared" si="59"/>
        <v/>
      </c>
      <c r="AB74" s="13"/>
      <c r="AC74" s="14" t="str">
        <f t="shared" si="60"/>
        <v/>
      </c>
      <c r="AD74" s="13"/>
      <c r="AE74" s="14">
        <f t="shared" si="61"/>
        <v>0</v>
      </c>
      <c r="AF74" s="14">
        <f t="shared" si="62"/>
        <v>0</v>
      </c>
      <c r="AG74" s="13"/>
      <c r="AH74" s="14" t="str">
        <f t="shared" si="63"/>
        <v/>
      </c>
      <c r="AI74" s="13"/>
      <c r="AJ74" s="14" t="str">
        <f t="shared" si="64"/>
        <v/>
      </c>
      <c r="AK74" s="13"/>
      <c r="AL74" s="14" t="str">
        <f t="shared" si="65"/>
        <v/>
      </c>
      <c r="AM74" s="13"/>
      <c r="AN74" s="14" t="str">
        <f t="shared" si="66"/>
        <v/>
      </c>
      <c r="AO74" s="13"/>
      <c r="AP74" s="14" t="str">
        <f t="shared" si="67"/>
        <v/>
      </c>
      <c r="AQ74" s="13"/>
      <c r="AR74" s="14">
        <f t="shared" si="68"/>
        <v>0</v>
      </c>
      <c r="AS74" s="13"/>
      <c r="AT74" s="14">
        <f t="shared" si="69"/>
        <v>0</v>
      </c>
      <c r="AU74" s="14">
        <f t="shared" si="70"/>
        <v>0</v>
      </c>
      <c r="AV74" s="13"/>
      <c r="AW74" s="14" t="str">
        <f t="shared" si="71"/>
        <v/>
      </c>
      <c r="AX74" s="13"/>
      <c r="AY74" s="14" t="str">
        <f t="shared" si="72"/>
        <v/>
      </c>
      <c r="AZ74" s="13"/>
      <c r="BA74" s="14" t="str">
        <f t="shared" si="73"/>
        <v/>
      </c>
      <c r="BB74" s="13"/>
      <c r="BC74" s="14">
        <f t="shared" si="74"/>
        <v>0</v>
      </c>
      <c r="BD74" s="14">
        <f t="shared" si="75"/>
        <v>0</v>
      </c>
      <c r="BE74" s="13"/>
      <c r="BF74" s="14" t="str">
        <f t="shared" si="76"/>
        <v/>
      </c>
      <c r="BG74" s="13"/>
      <c r="BH74" s="14" t="str">
        <f t="shared" si="77"/>
        <v/>
      </c>
      <c r="BI74" s="14">
        <f t="shared" si="78"/>
        <v>0</v>
      </c>
      <c r="BJ74" s="14">
        <f t="shared" si="79"/>
        <v>0</v>
      </c>
      <c r="BK74" s="14" t="str">
        <f t="shared" si="80"/>
        <v>LOW RISK</v>
      </c>
      <c r="BL74" s="14" t="str">
        <f t="shared" si="81"/>
        <v/>
      </c>
      <c r="BM74" s="13"/>
      <c r="BN74" s="12"/>
      <c r="BO74" s="13"/>
      <c r="BP74" s="13"/>
      <c r="BQ74" s="13"/>
      <c r="BR74" s="13"/>
      <c r="BS74" s="13"/>
      <c r="BT74" s="13"/>
      <c r="BU74" s="14" t="str">
        <f t="shared" si="82"/>
        <v/>
      </c>
      <c r="BV74" s="13"/>
      <c r="BW74" s="13"/>
      <c r="BX74" s="13"/>
      <c r="BY74" s="13"/>
      <c r="BZ74" s="13"/>
      <c r="CA74" s="13"/>
      <c r="CB74" s="13"/>
      <c r="CC74" s="14" t="str">
        <f t="shared" si="83"/>
        <v/>
      </c>
      <c r="CD74" s="13"/>
      <c r="CE74" s="13"/>
      <c r="CF74" s="12"/>
      <c r="CG74" s="13"/>
      <c r="CH74" s="13"/>
      <c r="CI74" s="13"/>
      <c r="CJ74" s="13"/>
      <c r="CK74" s="13"/>
      <c r="CL74" s="12"/>
      <c r="CM74" s="13"/>
      <c r="CN74" s="13"/>
      <c r="CO74" s="13"/>
      <c r="CP74" s="12"/>
    </row>
    <row r="75" spans="1:94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4" t="str">
        <f t="shared" si="56"/>
        <v>✓ Clear to Score</v>
      </c>
      <c r="U75" s="13"/>
      <c r="V75" s="13"/>
      <c r="W75" s="14" t="str">
        <f t="shared" si="57"/>
        <v/>
      </c>
      <c r="X75" s="13"/>
      <c r="Y75" s="14" t="str">
        <f t="shared" si="58"/>
        <v/>
      </c>
      <c r="Z75" s="13"/>
      <c r="AA75" s="14" t="str">
        <f t="shared" si="59"/>
        <v/>
      </c>
      <c r="AB75" s="13"/>
      <c r="AC75" s="14" t="str">
        <f t="shared" si="60"/>
        <v/>
      </c>
      <c r="AD75" s="13"/>
      <c r="AE75" s="14">
        <f t="shared" si="61"/>
        <v>0</v>
      </c>
      <c r="AF75" s="14">
        <f t="shared" si="62"/>
        <v>0</v>
      </c>
      <c r="AG75" s="13"/>
      <c r="AH75" s="14" t="str">
        <f t="shared" si="63"/>
        <v/>
      </c>
      <c r="AI75" s="13"/>
      <c r="AJ75" s="14" t="str">
        <f t="shared" si="64"/>
        <v/>
      </c>
      <c r="AK75" s="13"/>
      <c r="AL75" s="14" t="str">
        <f t="shared" si="65"/>
        <v/>
      </c>
      <c r="AM75" s="13"/>
      <c r="AN75" s="14" t="str">
        <f t="shared" si="66"/>
        <v/>
      </c>
      <c r="AO75" s="13"/>
      <c r="AP75" s="14" t="str">
        <f t="shared" si="67"/>
        <v/>
      </c>
      <c r="AQ75" s="13"/>
      <c r="AR75" s="14">
        <f t="shared" si="68"/>
        <v>0</v>
      </c>
      <c r="AS75" s="13"/>
      <c r="AT75" s="14">
        <f t="shared" si="69"/>
        <v>0</v>
      </c>
      <c r="AU75" s="14">
        <f t="shared" si="70"/>
        <v>0</v>
      </c>
      <c r="AV75" s="13"/>
      <c r="AW75" s="14" t="str">
        <f t="shared" si="71"/>
        <v/>
      </c>
      <c r="AX75" s="13"/>
      <c r="AY75" s="14" t="str">
        <f t="shared" si="72"/>
        <v/>
      </c>
      <c r="AZ75" s="13"/>
      <c r="BA75" s="14" t="str">
        <f t="shared" si="73"/>
        <v/>
      </c>
      <c r="BB75" s="13"/>
      <c r="BC75" s="14">
        <f t="shared" si="74"/>
        <v>0</v>
      </c>
      <c r="BD75" s="14">
        <f t="shared" si="75"/>
        <v>0</v>
      </c>
      <c r="BE75" s="13"/>
      <c r="BF75" s="14" t="str">
        <f t="shared" si="76"/>
        <v/>
      </c>
      <c r="BG75" s="13"/>
      <c r="BH75" s="14" t="str">
        <f t="shared" si="77"/>
        <v/>
      </c>
      <c r="BI75" s="14">
        <f t="shared" si="78"/>
        <v>0</v>
      </c>
      <c r="BJ75" s="14">
        <f t="shared" si="79"/>
        <v>0</v>
      </c>
      <c r="BK75" s="14" t="str">
        <f t="shared" si="80"/>
        <v>LOW RISK</v>
      </c>
      <c r="BL75" s="14" t="str">
        <f t="shared" si="81"/>
        <v/>
      </c>
      <c r="BM75" s="13"/>
      <c r="BN75" s="12"/>
      <c r="BO75" s="13"/>
      <c r="BP75" s="13"/>
      <c r="BQ75" s="13"/>
      <c r="BR75" s="13"/>
      <c r="BS75" s="13"/>
      <c r="BT75" s="13"/>
      <c r="BU75" s="14" t="str">
        <f t="shared" si="82"/>
        <v/>
      </c>
      <c r="BV75" s="13"/>
      <c r="BW75" s="13"/>
      <c r="BX75" s="13"/>
      <c r="BY75" s="13"/>
      <c r="BZ75" s="13"/>
      <c r="CA75" s="13"/>
      <c r="CB75" s="13"/>
      <c r="CC75" s="14" t="str">
        <f t="shared" si="83"/>
        <v/>
      </c>
      <c r="CD75" s="13"/>
      <c r="CE75" s="13"/>
      <c r="CF75" s="12"/>
      <c r="CG75" s="13"/>
      <c r="CH75" s="13"/>
      <c r="CI75" s="13"/>
      <c r="CJ75" s="13"/>
      <c r="CK75" s="13"/>
      <c r="CL75" s="12"/>
      <c r="CM75" s="13"/>
      <c r="CN75" s="13"/>
      <c r="CO75" s="13"/>
      <c r="CP75" s="12"/>
    </row>
    <row r="76" spans="1:94" x14ac:dyDescent="0.2">
      <c r="A76" s="12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4" t="str">
        <f t="shared" si="56"/>
        <v>✓ Clear to Score</v>
      </c>
      <c r="U76" s="13"/>
      <c r="V76" s="13"/>
      <c r="W76" s="14" t="str">
        <f t="shared" si="57"/>
        <v/>
      </c>
      <c r="X76" s="13"/>
      <c r="Y76" s="14" t="str">
        <f t="shared" si="58"/>
        <v/>
      </c>
      <c r="Z76" s="13"/>
      <c r="AA76" s="14" t="str">
        <f t="shared" si="59"/>
        <v/>
      </c>
      <c r="AB76" s="13"/>
      <c r="AC76" s="14" t="str">
        <f t="shared" si="60"/>
        <v/>
      </c>
      <c r="AD76" s="13"/>
      <c r="AE76" s="14">
        <f t="shared" si="61"/>
        <v>0</v>
      </c>
      <c r="AF76" s="14">
        <f t="shared" si="62"/>
        <v>0</v>
      </c>
      <c r="AG76" s="13"/>
      <c r="AH76" s="14" t="str">
        <f t="shared" si="63"/>
        <v/>
      </c>
      <c r="AI76" s="13"/>
      <c r="AJ76" s="14" t="str">
        <f t="shared" si="64"/>
        <v/>
      </c>
      <c r="AK76" s="13"/>
      <c r="AL76" s="14" t="str">
        <f t="shared" si="65"/>
        <v/>
      </c>
      <c r="AM76" s="13"/>
      <c r="AN76" s="14" t="str">
        <f t="shared" si="66"/>
        <v/>
      </c>
      <c r="AO76" s="13"/>
      <c r="AP76" s="14" t="str">
        <f t="shared" si="67"/>
        <v/>
      </c>
      <c r="AQ76" s="13"/>
      <c r="AR76" s="14">
        <f t="shared" si="68"/>
        <v>0</v>
      </c>
      <c r="AS76" s="13"/>
      <c r="AT76" s="14">
        <f t="shared" si="69"/>
        <v>0</v>
      </c>
      <c r="AU76" s="14">
        <f t="shared" si="70"/>
        <v>0</v>
      </c>
      <c r="AV76" s="13"/>
      <c r="AW76" s="14" t="str">
        <f t="shared" si="71"/>
        <v/>
      </c>
      <c r="AX76" s="13"/>
      <c r="AY76" s="14" t="str">
        <f t="shared" si="72"/>
        <v/>
      </c>
      <c r="AZ76" s="13"/>
      <c r="BA76" s="14" t="str">
        <f t="shared" si="73"/>
        <v/>
      </c>
      <c r="BB76" s="13"/>
      <c r="BC76" s="14">
        <f t="shared" si="74"/>
        <v>0</v>
      </c>
      <c r="BD76" s="14">
        <f t="shared" si="75"/>
        <v>0</v>
      </c>
      <c r="BE76" s="13"/>
      <c r="BF76" s="14" t="str">
        <f t="shared" si="76"/>
        <v/>
      </c>
      <c r="BG76" s="13"/>
      <c r="BH76" s="14" t="str">
        <f t="shared" si="77"/>
        <v/>
      </c>
      <c r="BI76" s="14">
        <f t="shared" si="78"/>
        <v>0</v>
      </c>
      <c r="BJ76" s="14">
        <f t="shared" si="79"/>
        <v>0</v>
      </c>
      <c r="BK76" s="14" t="str">
        <f t="shared" si="80"/>
        <v>LOW RISK</v>
      </c>
      <c r="BL76" s="14" t="str">
        <f t="shared" si="81"/>
        <v/>
      </c>
      <c r="BM76" s="13"/>
      <c r="BN76" s="12"/>
      <c r="BO76" s="13"/>
      <c r="BP76" s="13"/>
      <c r="BQ76" s="13"/>
      <c r="BR76" s="13"/>
      <c r="BS76" s="13"/>
      <c r="BT76" s="13"/>
      <c r="BU76" s="14" t="str">
        <f t="shared" si="82"/>
        <v/>
      </c>
      <c r="BV76" s="13"/>
      <c r="BW76" s="13"/>
      <c r="BX76" s="13"/>
      <c r="BY76" s="13"/>
      <c r="BZ76" s="13"/>
      <c r="CA76" s="13"/>
      <c r="CB76" s="13"/>
      <c r="CC76" s="14" t="str">
        <f t="shared" si="83"/>
        <v/>
      </c>
      <c r="CD76" s="13"/>
      <c r="CE76" s="13"/>
      <c r="CF76" s="12"/>
      <c r="CG76" s="13"/>
      <c r="CH76" s="13"/>
      <c r="CI76" s="13"/>
      <c r="CJ76" s="13"/>
      <c r="CK76" s="13"/>
      <c r="CL76" s="12"/>
      <c r="CM76" s="13"/>
      <c r="CN76" s="13"/>
      <c r="CO76" s="13"/>
      <c r="CP76" s="12"/>
    </row>
    <row r="77" spans="1:94" x14ac:dyDescent="0.2">
      <c r="A77" s="12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4" t="str">
        <f t="shared" si="56"/>
        <v>✓ Clear to Score</v>
      </c>
      <c r="U77" s="13"/>
      <c r="V77" s="13"/>
      <c r="W77" s="14" t="str">
        <f t="shared" si="57"/>
        <v/>
      </c>
      <c r="X77" s="13"/>
      <c r="Y77" s="14" t="str">
        <f t="shared" si="58"/>
        <v/>
      </c>
      <c r="Z77" s="13"/>
      <c r="AA77" s="14" t="str">
        <f t="shared" si="59"/>
        <v/>
      </c>
      <c r="AB77" s="13"/>
      <c r="AC77" s="14" t="str">
        <f t="shared" si="60"/>
        <v/>
      </c>
      <c r="AD77" s="13"/>
      <c r="AE77" s="14">
        <f t="shared" si="61"/>
        <v>0</v>
      </c>
      <c r="AF77" s="14">
        <f t="shared" si="62"/>
        <v>0</v>
      </c>
      <c r="AG77" s="13"/>
      <c r="AH77" s="14" t="str">
        <f t="shared" si="63"/>
        <v/>
      </c>
      <c r="AI77" s="13"/>
      <c r="AJ77" s="14" t="str">
        <f t="shared" si="64"/>
        <v/>
      </c>
      <c r="AK77" s="13"/>
      <c r="AL77" s="14" t="str">
        <f t="shared" si="65"/>
        <v/>
      </c>
      <c r="AM77" s="13"/>
      <c r="AN77" s="14" t="str">
        <f t="shared" si="66"/>
        <v/>
      </c>
      <c r="AO77" s="13"/>
      <c r="AP77" s="14" t="str">
        <f t="shared" si="67"/>
        <v/>
      </c>
      <c r="AQ77" s="13"/>
      <c r="AR77" s="14">
        <f t="shared" si="68"/>
        <v>0</v>
      </c>
      <c r="AS77" s="13"/>
      <c r="AT77" s="14">
        <f t="shared" si="69"/>
        <v>0</v>
      </c>
      <c r="AU77" s="14">
        <f t="shared" si="70"/>
        <v>0</v>
      </c>
      <c r="AV77" s="13"/>
      <c r="AW77" s="14" t="str">
        <f t="shared" si="71"/>
        <v/>
      </c>
      <c r="AX77" s="13"/>
      <c r="AY77" s="14" t="str">
        <f t="shared" si="72"/>
        <v/>
      </c>
      <c r="AZ77" s="13"/>
      <c r="BA77" s="14" t="str">
        <f t="shared" si="73"/>
        <v/>
      </c>
      <c r="BB77" s="13"/>
      <c r="BC77" s="14">
        <f t="shared" si="74"/>
        <v>0</v>
      </c>
      <c r="BD77" s="14">
        <f t="shared" si="75"/>
        <v>0</v>
      </c>
      <c r="BE77" s="13"/>
      <c r="BF77" s="14" t="str">
        <f t="shared" si="76"/>
        <v/>
      </c>
      <c r="BG77" s="13"/>
      <c r="BH77" s="14" t="str">
        <f t="shared" si="77"/>
        <v/>
      </c>
      <c r="BI77" s="14">
        <f t="shared" si="78"/>
        <v>0</v>
      </c>
      <c r="BJ77" s="14">
        <f t="shared" si="79"/>
        <v>0</v>
      </c>
      <c r="BK77" s="14" t="str">
        <f t="shared" si="80"/>
        <v>LOW RISK</v>
      </c>
      <c r="BL77" s="14" t="str">
        <f t="shared" si="81"/>
        <v/>
      </c>
      <c r="BM77" s="13"/>
      <c r="BN77" s="12"/>
      <c r="BO77" s="13"/>
      <c r="BP77" s="13"/>
      <c r="BQ77" s="13"/>
      <c r="BR77" s="13"/>
      <c r="BS77" s="13"/>
      <c r="BT77" s="13"/>
      <c r="BU77" s="14" t="str">
        <f t="shared" si="82"/>
        <v/>
      </c>
      <c r="BV77" s="13"/>
      <c r="BW77" s="13"/>
      <c r="BX77" s="13"/>
      <c r="BY77" s="13"/>
      <c r="BZ77" s="13"/>
      <c r="CA77" s="13"/>
      <c r="CB77" s="13"/>
      <c r="CC77" s="14" t="str">
        <f t="shared" si="83"/>
        <v/>
      </c>
      <c r="CD77" s="13"/>
      <c r="CE77" s="13"/>
      <c r="CF77" s="12"/>
      <c r="CG77" s="13"/>
      <c r="CH77" s="13"/>
      <c r="CI77" s="13"/>
      <c r="CJ77" s="13"/>
      <c r="CK77" s="13"/>
      <c r="CL77" s="12"/>
      <c r="CM77" s="13"/>
      <c r="CN77" s="13"/>
      <c r="CO77" s="13"/>
      <c r="CP77" s="12"/>
    </row>
    <row r="78" spans="1:94" x14ac:dyDescent="0.2">
      <c r="A78" s="12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4" t="str">
        <f t="shared" si="56"/>
        <v>✓ Clear to Score</v>
      </c>
      <c r="U78" s="13"/>
      <c r="V78" s="13"/>
      <c r="W78" s="14" t="str">
        <f t="shared" si="57"/>
        <v/>
      </c>
      <c r="X78" s="13"/>
      <c r="Y78" s="14" t="str">
        <f t="shared" si="58"/>
        <v/>
      </c>
      <c r="Z78" s="13"/>
      <c r="AA78" s="14" t="str">
        <f t="shared" si="59"/>
        <v/>
      </c>
      <c r="AB78" s="13"/>
      <c r="AC78" s="14" t="str">
        <f t="shared" si="60"/>
        <v/>
      </c>
      <c r="AD78" s="13"/>
      <c r="AE78" s="14">
        <f t="shared" si="61"/>
        <v>0</v>
      </c>
      <c r="AF78" s="14">
        <f t="shared" si="62"/>
        <v>0</v>
      </c>
      <c r="AG78" s="13"/>
      <c r="AH78" s="14" t="str">
        <f t="shared" si="63"/>
        <v/>
      </c>
      <c r="AI78" s="13"/>
      <c r="AJ78" s="14" t="str">
        <f t="shared" si="64"/>
        <v/>
      </c>
      <c r="AK78" s="13"/>
      <c r="AL78" s="14" t="str">
        <f t="shared" si="65"/>
        <v/>
      </c>
      <c r="AM78" s="13"/>
      <c r="AN78" s="14" t="str">
        <f t="shared" si="66"/>
        <v/>
      </c>
      <c r="AO78" s="13"/>
      <c r="AP78" s="14" t="str">
        <f t="shared" si="67"/>
        <v/>
      </c>
      <c r="AQ78" s="13"/>
      <c r="AR78" s="14">
        <f t="shared" si="68"/>
        <v>0</v>
      </c>
      <c r="AS78" s="13"/>
      <c r="AT78" s="14">
        <f t="shared" si="69"/>
        <v>0</v>
      </c>
      <c r="AU78" s="14">
        <f t="shared" si="70"/>
        <v>0</v>
      </c>
      <c r="AV78" s="13"/>
      <c r="AW78" s="14" t="str">
        <f t="shared" si="71"/>
        <v/>
      </c>
      <c r="AX78" s="13"/>
      <c r="AY78" s="14" t="str">
        <f t="shared" si="72"/>
        <v/>
      </c>
      <c r="AZ78" s="13"/>
      <c r="BA78" s="14" t="str">
        <f t="shared" si="73"/>
        <v/>
      </c>
      <c r="BB78" s="13"/>
      <c r="BC78" s="14">
        <f t="shared" si="74"/>
        <v>0</v>
      </c>
      <c r="BD78" s="14">
        <f t="shared" si="75"/>
        <v>0</v>
      </c>
      <c r="BE78" s="13"/>
      <c r="BF78" s="14" t="str">
        <f t="shared" si="76"/>
        <v/>
      </c>
      <c r="BG78" s="13"/>
      <c r="BH78" s="14" t="str">
        <f t="shared" si="77"/>
        <v/>
      </c>
      <c r="BI78" s="14">
        <f t="shared" si="78"/>
        <v>0</v>
      </c>
      <c r="BJ78" s="14">
        <f t="shared" si="79"/>
        <v>0</v>
      </c>
      <c r="BK78" s="14" t="str">
        <f t="shared" si="80"/>
        <v>LOW RISK</v>
      </c>
      <c r="BL78" s="14" t="str">
        <f t="shared" si="81"/>
        <v/>
      </c>
      <c r="BM78" s="13"/>
      <c r="BN78" s="12"/>
      <c r="BO78" s="13"/>
      <c r="BP78" s="13"/>
      <c r="BQ78" s="13"/>
      <c r="BR78" s="13"/>
      <c r="BS78" s="13"/>
      <c r="BT78" s="13"/>
      <c r="BU78" s="14" t="str">
        <f t="shared" si="82"/>
        <v/>
      </c>
      <c r="BV78" s="13"/>
      <c r="BW78" s="13"/>
      <c r="BX78" s="13"/>
      <c r="BY78" s="13"/>
      <c r="BZ78" s="13"/>
      <c r="CA78" s="13"/>
      <c r="CB78" s="13"/>
      <c r="CC78" s="14" t="str">
        <f t="shared" si="83"/>
        <v/>
      </c>
      <c r="CD78" s="13"/>
      <c r="CE78" s="13"/>
      <c r="CF78" s="12"/>
      <c r="CG78" s="13"/>
      <c r="CH78" s="13"/>
      <c r="CI78" s="13"/>
      <c r="CJ78" s="13"/>
      <c r="CK78" s="13"/>
      <c r="CL78" s="12"/>
      <c r="CM78" s="13"/>
      <c r="CN78" s="13"/>
      <c r="CO78" s="13"/>
      <c r="CP78" s="12"/>
    </row>
    <row r="79" spans="1:94" x14ac:dyDescent="0.2">
      <c r="A79" s="12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4" t="str">
        <f t="shared" si="56"/>
        <v>✓ Clear to Score</v>
      </c>
      <c r="U79" s="13"/>
      <c r="V79" s="13"/>
      <c r="W79" s="14" t="str">
        <f t="shared" si="57"/>
        <v/>
      </c>
      <c r="X79" s="13"/>
      <c r="Y79" s="14" t="str">
        <f t="shared" si="58"/>
        <v/>
      </c>
      <c r="Z79" s="13"/>
      <c r="AA79" s="14" t="str">
        <f t="shared" si="59"/>
        <v/>
      </c>
      <c r="AB79" s="13"/>
      <c r="AC79" s="14" t="str">
        <f t="shared" si="60"/>
        <v/>
      </c>
      <c r="AD79" s="13"/>
      <c r="AE79" s="14">
        <f t="shared" si="61"/>
        <v>0</v>
      </c>
      <c r="AF79" s="14">
        <f t="shared" si="62"/>
        <v>0</v>
      </c>
      <c r="AG79" s="13"/>
      <c r="AH79" s="14" t="str">
        <f t="shared" si="63"/>
        <v/>
      </c>
      <c r="AI79" s="13"/>
      <c r="AJ79" s="14" t="str">
        <f t="shared" si="64"/>
        <v/>
      </c>
      <c r="AK79" s="13"/>
      <c r="AL79" s="14" t="str">
        <f t="shared" si="65"/>
        <v/>
      </c>
      <c r="AM79" s="13"/>
      <c r="AN79" s="14" t="str">
        <f t="shared" si="66"/>
        <v/>
      </c>
      <c r="AO79" s="13"/>
      <c r="AP79" s="14" t="str">
        <f t="shared" si="67"/>
        <v/>
      </c>
      <c r="AQ79" s="13"/>
      <c r="AR79" s="14">
        <f t="shared" si="68"/>
        <v>0</v>
      </c>
      <c r="AS79" s="13"/>
      <c r="AT79" s="14">
        <f t="shared" si="69"/>
        <v>0</v>
      </c>
      <c r="AU79" s="14">
        <f t="shared" si="70"/>
        <v>0</v>
      </c>
      <c r="AV79" s="13"/>
      <c r="AW79" s="14" t="str">
        <f t="shared" si="71"/>
        <v/>
      </c>
      <c r="AX79" s="13"/>
      <c r="AY79" s="14" t="str">
        <f t="shared" si="72"/>
        <v/>
      </c>
      <c r="AZ79" s="13"/>
      <c r="BA79" s="14" t="str">
        <f t="shared" si="73"/>
        <v/>
      </c>
      <c r="BB79" s="13"/>
      <c r="BC79" s="14">
        <f t="shared" si="74"/>
        <v>0</v>
      </c>
      <c r="BD79" s="14">
        <f t="shared" si="75"/>
        <v>0</v>
      </c>
      <c r="BE79" s="13"/>
      <c r="BF79" s="14" t="str">
        <f t="shared" si="76"/>
        <v/>
      </c>
      <c r="BG79" s="13"/>
      <c r="BH79" s="14" t="str">
        <f t="shared" si="77"/>
        <v/>
      </c>
      <c r="BI79" s="14">
        <f t="shared" si="78"/>
        <v>0</v>
      </c>
      <c r="BJ79" s="14">
        <f t="shared" si="79"/>
        <v>0</v>
      </c>
      <c r="BK79" s="14" t="str">
        <f t="shared" si="80"/>
        <v>LOW RISK</v>
      </c>
      <c r="BL79" s="14" t="str">
        <f t="shared" si="81"/>
        <v/>
      </c>
      <c r="BM79" s="13"/>
      <c r="BN79" s="12"/>
      <c r="BO79" s="13"/>
      <c r="BP79" s="13"/>
      <c r="BQ79" s="13"/>
      <c r="BR79" s="13"/>
      <c r="BS79" s="13"/>
      <c r="BT79" s="13"/>
      <c r="BU79" s="14" t="str">
        <f t="shared" si="82"/>
        <v/>
      </c>
      <c r="BV79" s="13"/>
      <c r="BW79" s="13"/>
      <c r="BX79" s="13"/>
      <c r="BY79" s="13"/>
      <c r="BZ79" s="13"/>
      <c r="CA79" s="13"/>
      <c r="CB79" s="13"/>
      <c r="CC79" s="14" t="str">
        <f t="shared" si="83"/>
        <v/>
      </c>
      <c r="CD79" s="13"/>
      <c r="CE79" s="13"/>
      <c r="CF79" s="12"/>
      <c r="CG79" s="13"/>
      <c r="CH79" s="13"/>
      <c r="CI79" s="13"/>
      <c r="CJ79" s="13"/>
      <c r="CK79" s="13"/>
      <c r="CL79" s="12"/>
      <c r="CM79" s="13"/>
      <c r="CN79" s="13"/>
      <c r="CO79" s="13"/>
      <c r="CP79" s="12"/>
    </row>
    <row r="80" spans="1:94" x14ac:dyDescent="0.2">
      <c r="A80" s="12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4" t="str">
        <f t="shared" si="56"/>
        <v>✓ Clear to Score</v>
      </c>
      <c r="U80" s="13"/>
      <c r="V80" s="13"/>
      <c r="W80" s="14" t="str">
        <f t="shared" si="57"/>
        <v/>
      </c>
      <c r="X80" s="13"/>
      <c r="Y80" s="14" t="str">
        <f t="shared" si="58"/>
        <v/>
      </c>
      <c r="Z80" s="13"/>
      <c r="AA80" s="14" t="str">
        <f t="shared" si="59"/>
        <v/>
      </c>
      <c r="AB80" s="13"/>
      <c r="AC80" s="14" t="str">
        <f t="shared" si="60"/>
        <v/>
      </c>
      <c r="AD80" s="13"/>
      <c r="AE80" s="14">
        <f t="shared" si="61"/>
        <v>0</v>
      </c>
      <c r="AF80" s="14">
        <f t="shared" si="62"/>
        <v>0</v>
      </c>
      <c r="AG80" s="13"/>
      <c r="AH80" s="14" t="str">
        <f t="shared" si="63"/>
        <v/>
      </c>
      <c r="AI80" s="13"/>
      <c r="AJ80" s="14" t="str">
        <f t="shared" si="64"/>
        <v/>
      </c>
      <c r="AK80" s="13"/>
      <c r="AL80" s="14" t="str">
        <f t="shared" si="65"/>
        <v/>
      </c>
      <c r="AM80" s="13"/>
      <c r="AN80" s="14" t="str">
        <f t="shared" si="66"/>
        <v/>
      </c>
      <c r="AO80" s="13"/>
      <c r="AP80" s="14" t="str">
        <f t="shared" si="67"/>
        <v/>
      </c>
      <c r="AQ80" s="13"/>
      <c r="AR80" s="14">
        <f t="shared" si="68"/>
        <v>0</v>
      </c>
      <c r="AS80" s="13"/>
      <c r="AT80" s="14">
        <f t="shared" si="69"/>
        <v>0</v>
      </c>
      <c r="AU80" s="14">
        <f t="shared" si="70"/>
        <v>0</v>
      </c>
      <c r="AV80" s="13"/>
      <c r="AW80" s="14" t="str">
        <f t="shared" si="71"/>
        <v/>
      </c>
      <c r="AX80" s="13"/>
      <c r="AY80" s="14" t="str">
        <f t="shared" si="72"/>
        <v/>
      </c>
      <c r="AZ80" s="13"/>
      <c r="BA80" s="14" t="str">
        <f t="shared" si="73"/>
        <v/>
      </c>
      <c r="BB80" s="13"/>
      <c r="BC80" s="14">
        <f t="shared" si="74"/>
        <v>0</v>
      </c>
      <c r="BD80" s="14">
        <f t="shared" si="75"/>
        <v>0</v>
      </c>
      <c r="BE80" s="13"/>
      <c r="BF80" s="14" t="str">
        <f t="shared" si="76"/>
        <v/>
      </c>
      <c r="BG80" s="13"/>
      <c r="BH80" s="14" t="str">
        <f t="shared" si="77"/>
        <v/>
      </c>
      <c r="BI80" s="14">
        <f t="shared" si="78"/>
        <v>0</v>
      </c>
      <c r="BJ80" s="14">
        <f t="shared" si="79"/>
        <v>0</v>
      </c>
      <c r="BK80" s="14" t="str">
        <f t="shared" si="80"/>
        <v>LOW RISK</v>
      </c>
      <c r="BL80" s="14" t="str">
        <f t="shared" si="81"/>
        <v/>
      </c>
      <c r="BM80" s="13"/>
      <c r="BN80" s="12"/>
      <c r="BO80" s="13"/>
      <c r="BP80" s="13"/>
      <c r="BQ80" s="13"/>
      <c r="BR80" s="13"/>
      <c r="BS80" s="13"/>
      <c r="BT80" s="13"/>
      <c r="BU80" s="14" t="str">
        <f t="shared" si="82"/>
        <v/>
      </c>
      <c r="BV80" s="13"/>
      <c r="BW80" s="13"/>
      <c r="BX80" s="13"/>
      <c r="BY80" s="13"/>
      <c r="BZ80" s="13"/>
      <c r="CA80" s="13"/>
      <c r="CB80" s="13"/>
      <c r="CC80" s="14" t="str">
        <f t="shared" si="83"/>
        <v/>
      </c>
      <c r="CD80" s="13"/>
      <c r="CE80" s="13"/>
      <c r="CF80" s="12"/>
      <c r="CG80" s="13"/>
      <c r="CH80" s="13"/>
      <c r="CI80" s="13"/>
      <c r="CJ80" s="13"/>
      <c r="CK80" s="13"/>
      <c r="CL80" s="12"/>
      <c r="CM80" s="13"/>
      <c r="CN80" s="13"/>
      <c r="CO80" s="13"/>
      <c r="CP80" s="12"/>
    </row>
    <row r="81" spans="1:94" x14ac:dyDescent="0.2">
      <c r="A81" s="12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4" t="str">
        <f t="shared" si="56"/>
        <v>✓ Clear to Score</v>
      </c>
      <c r="U81" s="13"/>
      <c r="V81" s="13"/>
      <c r="W81" s="14" t="str">
        <f t="shared" si="57"/>
        <v/>
      </c>
      <c r="X81" s="13"/>
      <c r="Y81" s="14" t="str">
        <f t="shared" si="58"/>
        <v/>
      </c>
      <c r="Z81" s="13"/>
      <c r="AA81" s="14" t="str">
        <f t="shared" si="59"/>
        <v/>
      </c>
      <c r="AB81" s="13"/>
      <c r="AC81" s="14" t="str">
        <f t="shared" si="60"/>
        <v/>
      </c>
      <c r="AD81" s="13"/>
      <c r="AE81" s="14">
        <f t="shared" si="61"/>
        <v>0</v>
      </c>
      <c r="AF81" s="14">
        <f t="shared" si="62"/>
        <v>0</v>
      </c>
      <c r="AG81" s="13"/>
      <c r="AH81" s="14" t="str">
        <f t="shared" si="63"/>
        <v/>
      </c>
      <c r="AI81" s="13"/>
      <c r="AJ81" s="14" t="str">
        <f t="shared" si="64"/>
        <v/>
      </c>
      <c r="AK81" s="13"/>
      <c r="AL81" s="14" t="str">
        <f t="shared" si="65"/>
        <v/>
      </c>
      <c r="AM81" s="13"/>
      <c r="AN81" s="14" t="str">
        <f t="shared" si="66"/>
        <v/>
      </c>
      <c r="AO81" s="13"/>
      <c r="AP81" s="14" t="str">
        <f t="shared" si="67"/>
        <v/>
      </c>
      <c r="AQ81" s="13"/>
      <c r="AR81" s="14">
        <f t="shared" si="68"/>
        <v>0</v>
      </c>
      <c r="AS81" s="13"/>
      <c r="AT81" s="14">
        <f t="shared" si="69"/>
        <v>0</v>
      </c>
      <c r="AU81" s="14">
        <f t="shared" si="70"/>
        <v>0</v>
      </c>
      <c r="AV81" s="13"/>
      <c r="AW81" s="14" t="str">
        <f t="shared" si="71"/>
        <v/>
      </c>
      <c r="AX81" s="13"/>
      <c r="AY81" s="14" t="str">
        <f t="shared" si="72"/>
        <v/>
      </c>
      <c r="AZ81" s="13"/>
      <c r="BA81" s="14" t="str">
        <f t="shared" si="73"/>
        <v/>
      </c>
      <c r="BB81" s="13"/>
      <c r="BC81" s="14">
        <f t="shared" si="74"/>
        <v>0</v>
      </c>
      <c r="BD81" s="14">
        <f t="shared" si="75"/>
        <v>0</v>
      </c>
      <c r="BE81" s="13"/>
      <c r="BF81" s="14" t="str">
        <f t="shared" si="76"/>
        <v/>
      </c>
      <c r="BG81" s="13"/>
      <c r="BH81" s="14" t="str">
        <f t="shared" si="77"/>
        <v/>
      </c>
      <c r="BI81" s="14">
        <f t="shared" si="78"/>
        <v>0</v>
      </c>
      <c r="BJ81" s="14">
        <f t="shared" si="79"/>
        <v>0</v>
      </c>
      <c r="BK81" s="14" t="str">
        <f t="shared" si="80"/>
        <v>LOW RISK</v>
      </c>
      <c r="BL81" s="14" t="str">
        <f t="shared" si="81"/>
        <v/>
      </c>
      <c r="BM81" s="13"/>
      <c r="BN81" s="12"/>
      <c r="BO81" s="13"/>
      <c r="BP81" s="13"/>
      <c r="BQ81" s="13"/>
      <c r="BR81" s="13"/>
      <c r="BS81" s="13"/>
      <c r="BT81" s="13"/>
      <c r="BU81" s="14" t="str">
        <f t="shared" si="82"/>
        <v/>
      </c>
      <c r="BV81" s="13"/>
      <c r="BW81" s="13"/>
      <c r="BX81" s="13"/>
      <c r="BY81" s="13"/>
      <c r="BZ81" s="13"/>
      <c r="CA81" s="13"/>
      <c r="CB81" s="13"/>
      <c r="CC81" s="14" t="str">
        <f t="shared" si="83"/>
        <v/>
      </c>
      <c r="CD81" s="13"/>
      <c r="CE81" s="13"/>
      <c r="CF81" s="12"/>
      <c r="CG81" s="13"/>
      <c r="CH81" s="13"/>
      <c r="CI81" s="13"/>
      <c r="CJ81" s="13"/>
      <c r="CK81" s="13"/>
      <c r="CL81" s="12"/>
      <c r="CM81" s="13"/>
      <c r="CN81" s="13"/>
      <c r="CO81" s="13"/>
      <c r="CP81" s="12"/>
    </row>
    <row r="82" spans="1:94" x14ac:dyDescent="0.2">
      <c r="A82" s="12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4" t="str">
        <f t="shared" si="56"/>
        <v>✓ Clear to Score</v>
      </c>
      <c r="U82" s="13"/>
      <c r="V82" s="13"/>
      <c r="W82" s="14" t="str">
        <f t="shared" si="57"/>
        <v/>
      </c>
      <c r="X82" s="13"/>
      <c r="Y82" s="14" t="str">
        <f t="shared" si="58"/>
        <v/>
      </c>
      <c r="Z82" s="13"/>
      <c r="AA82" s="14" t="str">
        <f t="shared" si="59"/>
        <v/>
      </c>
      <c r="AB82" s="13"/>
      <c r="AC82" s="14" t="str">
        <f t="shared" si="60"/>
        <v/>
      </c>
      <c r="AD82" s="13"/>
      <c r="AE82" s="14">
        <f t="shared" si="61"/>
        <v>0</v>
      </c>
      <c r="AF82" s="14">
        <f t="shared" si="62"/>
        <v>0</v>
      </c>
      <c r="AG82" s="13"/>
      <c r="AH82" s="14" t="str">
        <f t="shared" si="63"/>
        <v/>
      </c>
      <c r="AI82" s="13"/>
      <c r="AJ82" s="14" t="str">
        <f t="shared" si="64"/>
        <v/>
      </c>
      <c r="AK82" s="13"/>
      <c r="AL82" s="14" t="str">
        <f t="shared" si="65"/>
        <v/>
      </c>
      <c r="AM82" s="13"/>
      <c r="AN82" s="14" t="str">
        <f t="shared" si="66"/>
        <v/>
      </c>
      <c r="AO82" s="13"/>
      <c r="AP82" s="14" t="str">
        <f t="shared" si="67"/>
        <v/>
      </c>
      <c r="AQ82" s="13"/>
      <c r="AR82" s="14">
        <f t="shared" si="68"/>
        <v>0</v>
      </c>
      <c r="AS82" s="13"/>
      <c r="AT82" s="14">
        <f t="shared" si="69"/>
        <v>0</v>
      </c>
      <c r="AU82" s="14">
        <f t="shared" si="70"/>
        <v>0</v>
      </c>
      <c r="AV82" s="13"/>
      <c r="AW82" s="14" t="str">
        <f t="shared" si="71"/>
        <v/>
      </c>
      <c r="AX82" s="13"/>
      <c r="AY82" s="14" t="str">
        <f t="shared" si="72"/>
        <v/>
      </c>
      <c r="AZ82" s="13"/>
      <c r="BA82" s="14" t="str">
        <f t="shared" si="73"/>
        <v/>
      </c>
      <c r="BB82" s="13"/>
      <c r="BC82" s="14">
        <f t="shared" si="74"/>
        <v>0</v>
      </c>
      <c r="BD82" s="14">
        <f t="shared" si="75"/>
        <v>0</v>
      </c>
      <c r="BE82" s="13"/>
      <c r="BF82" s="14" t="str">
        <f t="shared" si="76"/>
        <v/>
      </c>
      <c r="BG82" s="13"/>
      <c r="BH82" s="14" t="str">
        <f t="shared" si="77"/>
        <v/>
      </c>
      <c r="BI82" s="14">
        <f t="shared" si="78"/>
        <v>0</v>
      </c>
      <c r="BJ82" s="14">
        <f t="shared" si="79"/>
        <v>0</v>
      </c>
      <c r="BK82" s="14" t="str">
        <f t="shared" si="80"/>
        <v>LOW RISK</v>
      </c>
      <c r="BL82" s="14" t="str">
        <f t="shared" si="81"/>
        <v/>
      </c>
      <c r="BM82" s="13"/>
      <c r="BN82" s="12"/>
      <c r="BO82" s="13"/>
      <c r="BP82" s="13"/>
      <c r="BQ82" s="13"/>
      <c r="BR82" s="13"/>
      <c r="BS82" s="13"/>
      <c r="BT82" s="13"/>
      <c r="BU82" s="14" t="str">
        <f t="shared" si="82"/>
        <v/>
      </c>
      <c r="BV82" s="13"/>
      <c r="BW82" s="13"/>
      <c r="BX82" s="13"/>
      <c r="BY82" s="13"/>
      <c r="BZ82" s="13"/>
      <c r="CA82" s="13"/>
      <c r="CB82" s="13"/>
      <c r="CC82" s="14" t="str">
        <f t="shared" si="83"/>
        <v/>
      </c>
      <c r="CD82" s="13"/>
      <c r="CE82" s="13"/>
      <c r="CF82" s="12"/>
      <c r="CG82" s="13"/>
      <c r="CH82" s="13"/>
      <c r="CI82" s="13"/>
      <c r="CJ82" s="13"/>
      <c r="CK82" s="13"/>
      <c r="CL82" s="12"/>
      <c r="CM82" s="13"/>
      <c r="CN82" s="13"/>
      <c r="CO82" s="13"/>
      <c r="CP82" s="12"/>
    </row>
    <row r="83" spans="1:94" x14ac:dyDescent="0.2">
      <c r="A83" s="12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4" t="str">
        <f t="shared" si="56"/>
        <v>✓ Clear to Score</v>
      </c>
      <c r="U83" s="13"/>
      <c r="V83" s="13"/>
      <c r="W83" s="14" t="str">
        <f t="shared" si="57"/>
        <v/>
      </c>
      <c r="X83" s="13"/>
      <c r="Y83" s="14" t="str">
        <f t="shared" si="58"/>
        <v/>
      </c>
      <c r="Z83" s="13"/>
      <c r="AA83" s="14" t="str">
        <f t="shared" si="59"/>
        <v/>
      </c>
      <c r="AB83" s="13"/>
      <c r="AC83" s="14" t="str">
        <f t="shared" si="60"/>
        <v/>
      </c>
      <c r="AD83" s="13"/>
      <c r="AE83" s="14">
        <f t="shared" si="61"/>
        <v>0</v>
      </c>
      <c r="AF83" s="14">
        <f t="shared" si="62"/>
        <v>0</v>
      </c>
      <c r="AG83" s="13"/>
      <c r="AH83" s="14" t="str">
        <f t="shared" si="63"/>
        <v/>
      </c>
      <c r="AI83" s="13"/>
      <c r="AJ83" s="14" t="str">
        <f t="shared" si="64"/>
        <v/>
      </c>
      <c r="AK83" s="13"/>
      <c r="AL83" s="14" t="str">
        <f t="shared" si="65"/>
        <v/>
      </c>
      <c r="AM83" s="13"/>
      <c r="AN83" s="14" t="str">
        <f t="shared" si="66"/>
        <v/>
      </c>
      <c r="AO83" s="13"/>
      <c r="AP83" s="14" t="str">
        <f t="shared" si="67"/>
        <v/>
      </c>
      <c r="AQ83" s="13"/>
      <c r="AR83" s="14">
        <f t="shared" si="68"/>
        <v>0</v>
      </c>
      <c r="AS83" s="13"/>
      <c r="AT83" s="14">
        <f t="shared" si="69"/>
        <v>0</v>
      </c>
      <c r="AU83" s="14">
        <f t="shared" si="70"/>
        <v>0</v>
      </c>
      <c r="AV83" s="13"/>
      <c r="AW83" s="14" t="str">
        <f t="shared" si="71"/>
        <v/>
      </c>
      <c r="AX83" s="13"/>
      <c r="AY83" s="14" t="str">
        <f t="shared" si="72"/>
        <v/>
      </c>
      <c r="AZ83" s="13"/>
      <c r="BA83" s="14" t="str">
        <f t="shared" si="73"/>
        <v/>
      </c>
      <c r="BB83" s="13"/>
      <c r="BC83" s="14">
        <f t="shared" si="74"/>
        <v>0</v>
      </c>
      <c r="BD83" s="14">
        <f t="shared" si="75"/>
        <v>0</v>
      </c>
      <c r="BE83" s="13"/>
      <c r="BF83" s="14" t="str">
        <f t="shared" si="76"/>
        <v/>
      </c>
      <c r="BG83" s="13"/>
      <c r="BH83" s="14" t="str">
        <f t="shared" si="77"/>
        <v/>
      </c>
      <c r="BI83" s="14">
        <f t="shared" si="78"/>
        <v>0</v>
      </c>
      <c r="BJ83" s="14">
        <f t="shared" si="79"/>
        <v>0</v>
      </c>
      <c r="BK83" s="14" t="str">
        <f t="shared" si="80"/>
        <v>LOW RISK</v>
      </c>
      <c r="BL83" s="14" t="str">
        <f t="shared" si="81"/>
        <v/>
      </c>
      <c r="BM83" s="13"/>
      <c r="BN83" s="12"/>
      <c r="BO83" s="13"/>
      <c r="BP83" s="13"/>
      <c r="BQ83" s="13"/>
      <c r="BR83" s="13"/>
      <c r="BS83" s="13"/>
      <c r="BT83" s="13"/>
      <c r="BU83" s="14" t="str">
        <f t="shared" si="82"/>
        <v/>
      </c>
      <c r="BV83" s="13"/>
      <c r="BW83" s="13"/>
      <c r="BX83" s="13"/>
      <c r="BY83" s="13"/>
      <c r="BZ83" s="13"/>
      <c r="CA83" s="13"/>
      <c r="CB83" s="13"/>
      <c r="CC83" s="14" t="str">
        <f t="shared" si="83"/>
        <v/>
      </c>
      <c r="CD83" s="13"/>
      <c r="CE83" s="13"/>
      <c r="CF83" s="12"/>
      <c r="CG83" s="13"/>
      <c r="CH83" s="13"/>
      <c r="CI83" s="13"/>
      <c r="CJ83" s="13"/>
      <c r="CK83" s="13"/>
      <c r="CL83" s="12"/>
      <c r="CM83" s="13"/>
      <c r="CN83" s="13"/>
      <c r="CO83" s="13"/>
      <c r="CP83" s="12"/>
    </row>
    <row r="84" spans="1:94" x14ac:dyDescent="0.2">
      <c r="A84" s="12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4" t="str">
        <f t="shared" si="56"/>
        <v>✓ Clear to Score</v>
      </c>
      <c r="U84" s="13"/>
      <c r="V84" s="13"/>
      <c r="W84" s="14" t="str">
        <f t="shared" si="57"/>
        <v/>
      </c>
      <c r="X84" s="13"/>
      <c r="Y84" s="14" t="str">
        <f t="shared" si="58"/>
        <v/>
      </c>
      <c r="Z84" s="13"/>
      <c r="AA84" s="14" t="str">
        <f t="shared" si="59"/>
        <v/>
      </c>
      <c r="AB84" s="13"/>
      <c r="AC84" s="14" t="str">
        <f t="shared" si="60"/>
        <v/>
      </c>
      <c r="AD84" s="13"/>
      <c r="AE84" s="14">
        <f t="shared" si="61"/>
        <v>0</v>
      </c>
      <c r="AF84" s="14">
        <f t="shared" si="62"/>
        <v>0</v>
      </c>
      <c r="AG84" s="13"/>
      <c r="AH84" s="14" t="str">
        <f t="shared" si="63"/>
        <v/>
      </c>
      <c r="AI84" s="13"/>
      <c r="AJ84" s="14" t="str">
        <f t="shared" si="64"/>
        <v/>
      </c>
      <c r="AK84" s="13"/>
      <c r="AL84" s="14" t="str">
        <f t="shared" si="65"/>
        <v/>
      </c>
      <c r="AM84" s="13"/>
      <c r="AN84" s="14" t="str">
        <f t="shared" si="66"/>
        <v/>
      </c>
      <c r="AO84" s="13"/>
      <c r="AP84" s="14" t="str">
        <f t="shared" si="67"/>
        <v/>
      </c>
      <c r="AQ84" s="13"/>
      <c r="AR84" s="14">
        <f t="shared" si="68"/>
        <v>0</v>
      </c>
      <c r="AS84" s="13"/>
      <c r="AT84" s="14">
        <f t="shared" si="69"/>
        <v>0</v>
      </c>
      <c r="AU84" s="14">
        <f t="shared" si="70"/>
        <v>0</v>
      </c>
      <c r="AV84" s="13"/>
      <c r="AW84" s="14" t="str">
        <f t="shared" si="71"/>
        <v/>
      </c>
      <c r="AX84" s="13"/>
      <c r="AY84" s="14" t="str">
        <f t="shared" si="72"/>
        <v/>
      </c>
      <c r="AZ84" s="13"/>
      <c r="BA84" s="14" t="str">
        <f t="shared" si="73"/>
        <v/>
      </c>
      <c r="BB84" s="13"/>
      <c r="BC84" s="14">
        <f t="shared" si="74"/>
        <v>0</v>
      </c>
      <c r="BD84" s="14">
        <f t="shared" si="75"/>
        <v>0</v>
      </c>
      <c r="BE84" s="13"/>
      <c r="BF84" s="14" t="str">
        <f t="shared" si="76"/>
        <v/>
      </c>
      <c r="BG84" s="13"/>
      <c r="BH84" s="14" t="str">
        <f t="shared" si="77"/>
        <v/>
      </c>
      <c r="BI84" s="14">
        <f t="shared" si="78"/>
        <v>0</v>
      </c>
      <c r="BJ84" s="14">
        <f t="shared" si="79"/>
        <v>0</v>
      </c>
      <c r="BK84" s="14" t="str">
        <f t="shared" si="80"/>
        <v>LOW RISK</v>
      </c>
      <c r="BL84" s="14" t="str">
        <f t="shared" si="81"/>
        <v/>
      </c>
      <c r="BM84" s="13"/>
      <c r="BN84" s="12"/>
      <c r="BO84" s="13"/>
      <c r="BP84" s="13"/>
      <c r="BQ84" s="13"/>
      <c r="BR84" s="13"/>
      <c r="BS84" s="13"/>
      <c r="BT84" s="13"/>
      <c r="BU84" s="14" t="str">
        <f t="shared" si="82"/>
        <v/>
      </c>
      <c r="BV84" s="13"/>
      <c r="BW84" s="13"/>
      <c r="BX84" s="13"/>
      <c r="BY84" s="13"/>
      <c r="BZ84" s="13"/>
      <c r="CA84" s="13"/>
      <c r="CB84" s="13"/>
      <c r="CC84" s="14" t="str">
        <f t="shared" si="83"/>
        <v/>
      </c>
      <c r="CD84" s="13"/>
      <c r="CE84" s="13"/>
      <c r="CF84" s="12"/>
      <c r="CG84" s="13"/>
      <c r="CH84" s="13"/>
      <c r="CI84" s="13"/>
      <c r="CJ84" s="13"/>
      <c r="CK84" s="13"/>
      <c r="CL84" s="12"/>
      <c r="CM84" s="13"/>
      <c r="CN84" s="13"/>
      <c r="CO84" s="13"/>
      <c r="CP84" s="12"/>
    </row>
    <row r="85" spans="1:94" x14ac:dyDescent="0.2">
      <c r="A85" s="12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4" t="str">
        <f t="shared" si="56"/>
        <v>✓ Clear to Score</v>
      </c>
      <c r="U85" s="13"/>
      <c r="V85" s="13"/>
      <c r="W85" s="14" t="str">
        <f t="shared" si="57"/>
        <v/>
      </c>
      <c r="X85" s="13"/>
      <c r="Y85" s="14" t="str">
        <f t="shared" si="58"/>
        <v/>
      </c>
      <c r="Z85" s="13"/>
      <c r="AA85" s="14" t="str">
        <f t="shared" si="59"/>
        <v/>
      </c>
      <c r="AB85" s="13"/>
      <c r="AC85" s="14" t="str">
        <f t="shared" si="60"/>
        <v/>
      </c>
      <c r="AD85" s="13"/>
      <c r="AE85" s="14">
        <f t="shared" si="61"/>
        <v>0</v>
      </c>
      <c r="AF85" s="14">
        <f t="shared" si="62"/>
        <v>0</v>
      </c>
      <c r="AG85" s="13"/>
      <c r="AH85" s="14" t="str">
        <f t="shared" si="63"/>
        <v/>
      </c>
      <c r="AI85" s="13"/>
      <c r="AJ85" s="14" t="str">
        <f t="shared" si="64"/>
        <v/>
      </c>
      <c r="AK85" s="13"/>
      <c r="AL85" s="14" t="str">
        <f t="shared" si="65"/>
        <v/>
      </c>
      <c r="AM85" s="13"/>
      <c r="AN85" s="14" t="str">
        <f t="shared" si="66"/>
        <v/>
      </c>
      <c r="AO85" s="13"/>
      <c r="AP85" s="14" t="str">
        <f t="shared" si="67"/>
        <v/>
      </c>
      <c r="AQ85" s="13"/>
      <c r="AR85" s="14">
        <f t="shared" si="68"/>
        <v>0</v>
      </c>
      <c r="AS85" s="13"/>
      <c r="AT85" s="14">
        <f t="shared" si="69"/>
        <v>0</v>
      </c>
      <c r="AU85" s="14">
        <f t="shared" si="70"/>
        <v>0</v>
      </c>
      <c r="AV85" s="13"/>
      <c r="AW85" s="14" t="str">
        <f t="shared" si="71"/>
        <v/>
      </c>
      <c r="AX85" s="13"/>
      <c r="AY85" s="14" t="str">
        <f t="shared" si="72"/>
        <v/>
      </c>
      <c r="AZ85" s="13"/>
      <c r="BA85" s="14" t="str">
        <f t="shared" si="73"/>
        <v/>
      </c>
      <c r="BB85" s="13"/>
      <c r="BC85" s="14">
        <f t="shared" si="74"/>
        <v>0</v>
      </c>
      <c r="BD85" s="14">
        <f t="shared" si="75"/>
        <v>0</v>
      </c>
      <c r="BE85" s="13"/>
      <c r="BF85" s="14" t="str">
        <f t="shared" si="76"/>
        <v/>
      </c>
      <c r="BG85" s="13"/>
      <c r="BH85" s="14" t="str">
        <f t="shared" si="77"/>
        <v/>
      </c>
      <c r="BI85" s="14">
        <f t="shared" si="78"/>
        <v>0</v>
      </c>
      <c r="BJ85" s="14">
        <f t="shared" si="79"/>
        <v>0</v>
      </c>
      <c r="BK85" s="14" t="str">
        <f t="shared" si="80"/>
        <v>LOW RISK</v>
      </c>
      <c r="BL85" s="14" t="str">
        <f t="shared" si="81"/>
        <v/>
      </c>
      <c r="BM85" s="13"/>
      <c r="BN85" s="12"/>
      <c r="BO85" s="13"/>
      <c r="BP85" s="13"/>
      <c r="BQ85" s="13"/>
      <c r="BR85" s="13"/>
      <c r="BS85" s="13"/>
      <c r="BT85" s="13"/>
      <c r="BU85" s="14" t="str">
        <f t="shared" si="82"/>
        <v/>
      </c>
      <c r="BV85" s="13"/>
      <c r="BW85" s="13"/>
      <c r="BX85" s="13"/>
      <c r="BY85" s="13"/>
      <c r="BZ85" s="13"/>
      <c r="CA85" s="13"/>
      <c r="CB85" s="13"/>
      <c r="CC85" s="14" t="str">
        <f t="shared" si="83"/>
        <v/>
      </c>
      <c r="CD85" s="13"/>
      <c r="CE85" s="13"/>
      <c r="CF85" s="12"/>
      <c r="CG85" s="13"/>
      <c r="CH85" s="13"/>
      <c r="CI85" s="13"/>
      <c r="CJ85" s="13"/>
      <c r="CK85" s="13"/>
      <c r="CL85" s="12"/>
      <c r="CM85" s="13"/>
      <c r="CN85" s="13"/>
      <c r="CO85" s="13"/>
      <c r="CP85" s="12"/>
    </row>
    <row r="86" spans="1:94" x14ac:dyDescent="0.2">
      <c r="A86" s="12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4" t="str">
        <f t="shared" si="56"/>
        <v>✓ Clear to Score</v>
      </c>
      <c r="U86" s="13"/>
      <c r="V86" s="13"/>
      <c r="W86" s="14" t="str">
        <f t="shared" si="57"/>
        <v/>
      </c>
      <c r="X86" s="13"/>
      <c r="Y86" s="14" t="str">
        <f t="shared" si="58"/>
        <v/>
      </c>
      <c r="Z86" s="13"/>
      <c r="AA86" s="14" t="str">
        <f t="shared" si="59"/>
        <v/>
      </c>
      <c r="AB86" s="13"/>
      <c r="AC86" s="14" t="str">
        <f t="shared" si="60"/>
        <v/>
      </c>
      <c r="AD86" s="13"/>
      <c r="AE86" s="14">
        <f t="shared" si="61"/>
        <v>0</v>
      </c>
      <c r="AF86" s="14">
        <f t="shared" si="62"/>
        <v>0</v>
      </c>
      <c r="AG86" s="13"/>
      <c r="AH86" s="14" t="str">
        <f t="shared" si="63"/>
        <v/>
      </c>
      <c r="AI86" s="13"/>
      <c r="AJ86" s="14" t="str">
        <f t="shared" si="64"/>
        <v/>
      </c>
      <c r="AK86" s="13"/>
      <c r="AL86" s="14" t="str">
        <f t="shared" si="65"/>
        <v/>
      </c>
      <c r="AM86" s="13"/>
      <c r="AN86" s="14" t="str">
        <f t="shared" si="66"/>
        <v/>
      </c>
      <c r="AO86" s="13"/>
      <c r="AP86" s="14" t="str">
        <f t="shared" si="67"/>
        <v/>
      </c>
      <c r="AQ86" s="13"/>
      <c r="AR86" s="14">
        <f t="shared" si="68"/>
        <v>0</v>
      </c>
      <c r="AS86" s="13"/>
      <c r="AT86" s="14">
        <f t="shared" si="69"/>
        <v>0</v>
      </c>
      <c r="AU86" s="14">
        <f t="shared" si="70"/>
        <v>0</v>
      </c>
      <c r="AV86" s="13"/>
      <c r="AW86" s="14" t="str">
        <f t="shared" si="71"/>
        <v/>
      </c>
      <c r="AX86" s="13"/>
      <c r="AY86" s="14" t="str">
        <f t="shared" si="72"/>
        <v/>
      </c>
      <c r="AZ86" s="13"/>
      <c r="BA86" s="14" t="str">
        <f t="shared" si="73"/>
        <v/>
      </c>
      <c r="BB86" s="13"/>
      <c r="BC86" s="14">
        <f t="shared" si="74"/>
        <v>0</v>
      </c>
      <c r="BD86" s="14">
        <f t="shared" si="75"/>
        <v>0</v>
      </c>
      <c r="BE86" s="13"/>
      <c r="BF86" s="14" t="str">
        <f t="shared" si="76"/>
        <v/>
      </c>
      <c r="BG86" s="13"/>
      <c r="BH86" s="14" t="str">
        <f t="shared" si="77"/>
        <v/>
      </c>
      <c r="BI86" s="14">
        <f t="shared" si="78"/>
        <v>0</v>
      </c>
      <c r="BJ86" s="14">
        <f t="shared" si="79"/>
        <v>0</v>
      </c>
      <c r="BK86" s="14" t="str">
        <f t="shared" si="80"/>
        <v>LOW RISK</v>
      </c>
      <c r="BL86" s="14" t="str">
        <f t="shared" si="81"/>
        <v/>
      </c>
      <c r="BM86" s="13"/>
      <c r="BN86" s="12"/>
      <c r="BO86" s="13"/>
      <c r="BP86" s="13"/>
      <c r="BQ86" s="13"/>
      <c r="BR86" s="13"/>
      <c r="BS86" s="13"/>
      <c r="BT86" s="13"/>
      <c r="BU86" s="14" t="str">
        <f t="shared" si="82"/>
        <v/>
      </c>
      <c r="BV86" s="13"/>
      <c r="BW86" s="13"/>
      <c r="BX86" s="13"/>
      <c r="BY86" s="13"/>
      <c r="BZ86" s="13"/>
      <c r="CA86" s="13"/>
      <c r="CB86" s="13"/>
      <c r="CC86" s="14" t="str">
        <f t="shared" si="83"/>
        <v/>
      </c>
      <c r="CD86" s="13"/>
      <c r="CE86" s="13"/>
      <c r="CF86" s="12"/>
      <c r="CG86" s="13"/>
      <c r="CH86" s="13"/>
      <c r="CI86" s="13"/>
      <c r="CJ86" s="13"/>
      <c r="CK86" s="13"/>
      <c r="CL86" s="12"/>
      <c r="CM86" s="13"/>
      <c r="CN86" s="13"/>
      <c r="CO86" s="13"/>
      <c r="CP86" s="12"/>
    </row>
    <row r="87" spans="1:94" x14ac:dyDescent="0.2">
      <c r="A87" s="12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4" t="str">
        <f t="shared" si="56"/>
        <v>✓ Clear to Score</v>
      </c>
      <c r="U87" s="13"/>
      <c r="V87" s="13"/>
      <c r="W87" s="14" t="str">
        <f t="shared" si="57"/>
        <v/>
      </c>
      <c r="X87" s="13"/>
      <c r="Y87" s="14" t="str">
        <f t="shared" si="58"/>
        <v/>
      </c>
      <c r="Z87" s="13"/>
      <c r="AA87" s="14" t="str">
        <f t="shared" si="59"/>
        <v/>
      </c>
      <c r="AB87" s="13"/>
      <c r="AC87" s="14" t="str">
        <f t="shared" si="60"/>
        <v/>
      </c>
      <c r="AD87" s="13"/>
      <c r="AE87" s="14">
        <f t="shared" si="61"/>
        <v>0</v>
      </c>
      <c r="AF87" s="14">
        <f t="shared" si="62"/>
        <v>0</v>
      </c>
      <c r="AG87" s="13"/>
      <c r="AH87" s="14" t="str">
        <f t="shared" si="63"/>
        <v/>
      </c>
      <c r="AI87" s="13"/>
      <c r="AJ87" s="14" t="str">
        <f t="shared" si="64"/>
        <v/>
      </c>
      <c r="AK87" s="13"/>
      <c r="AL87" s="14" t="str">
        <f t="shared" si="65"/>
        <v/>
      </c>
      <c r="AM87" s="13"/>
      <c r="AN87" s="14" t="str">
        <f t="shared" si="66"/>
        <v/>
      </c>
      <c r="AO87" s="13"/>
      <c r="AP87" s="14" t="str">
        <f t="shared" si="67"/>
        <v/>
      </c>
      <c r="AQ87" s="13"/>
      <c r="AR87" s="14">
        <f t="shared" si="68"/>
        <v>0</v>
      </c>
      <c r="AS87" s="13"/>
      <c r="AT87" s="14">
        <f t="shared" si="69"/>
        <v>0</v>
      </c>
      <c r="AU87" s="14">
        <f t="shared" si="70"/>
        <v>0</v>
      </c>
      <c r="AV87" s="13"/>
      <c r="AW87" s="14" t="str">
        <f t="shared" si="71"/>
        <v/>
      </c>
      <c r="AX87" s="13"/>
      <c r="AY87" s="14" t="str">
        <f t="shared" si="72"/>
        <v/>
      </c>
      <c r="AZ87" s="13"/>
      <c r="BA87" s="14" t="str">
        <f t="shared" si="73"/>
        <v/>
      </c>
      <c r="BB87" s="13"/>
      <c r="BC87" s="14">
        <f t="shared" si="74"/>
        <v>0</v>
      </c>
      <c r="BD87" s="14">
        <f t="shared" si="75"/>
        <v>0</v>
      </c>
      <c r="BE87" s="13"/>
      <c r="BF87" s="14" t="str">
        <f t="shared" si="76"/>
        <v/>
      </c>
      <c r="BG87" s="13"/>
      <c r="BH87" s="14" t="str">
        <f t="shared" si="77"/>
        <v/>
      </c>
      <c r="BI87" s="14">
        <f t="shared" si="78"/>
        <v>0</v>
      </c>
      <c r="BJ87" s="14">
        <f t="shared" si="79"/>
        <v>0</v>
      </c>
      <c r="BK87" s="14" t="str">
        <f t="shared" si="80"/>
        <v>LOW RISK</v>
      </c>
      <c r="BL87" s="14" t="str">
        <f t="shared" si="81"/>
        <v/>
      </c>
      <c r="BM87" s="13"/>
      <c r="BN87" s="12"/>
      <c r="BO87" s="13"/>
      <c r="BP87" s="13"/>
      <c r="BQ87" s="13"/>
      <c r="BR87" s="13"/>
      <c r="BS87" s="13"/>
      <c r="BT87" s="13"/>
      <c r="BU87" s="14" t="str">
        <f t="shared" si="82"/>
        <v/>
      </c>
      <c r="BV87" s="13"/>
      <c r="BW87" s="13"/>
      <c r="BX87" s="13"/>
      <c r="BY87" s="13"/>
      <c r="BZ87" s="13"/>
      <c r="CA87" s="13"/>
      <c r="CB87" s="13"/>
      <c r="CC87" s="14" t="str">
        <f t="shared" si="83"/>
        <v/>
      </c>
      <c r="CD87" s="13"/>
      <c r="CE87" s="13"/>
      <c r="CF87" s="12"/>
      <c r="CG87" s="13"/>
      <c r="CH87" s="13"/>
      <c r="CI87" s="13"/>
      <c r="CJ87" s="13"/>
      <c r="CK87" s="13"/>
      <c r="CL87" s="12"/>
      <c r="CM87" s="13"/>
      <c r="CN87" s="13"/>
      <c r="CO87" s="13"/>
      <c r="CP87" s="12"/>
    </row>
    <row r="88" spans="1:94" x14ac:dyDescent="0.2">
      <c r="A88" s="12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4" t="str">
        <f t="shared" si="56"/>
        <v>✓ Clear to Score</v>
      </c>
      <c r="U88" s="13"/>
      <c r="V88" s="13"/>
      <c r="W88" s="14" t="str">
        <f t="shared" si="57"/>
        <v/>
      </c>
      <c r="X88" s="13"/>
      <c r="Y88" s="14" t="str">
        <f t="shared" si="58"/>
        <v/>
      </c>
      <c r="Z88" s="13"/>
      <c r="AA88" s="14" t="str">
        <f t="shared" si="59"/>
        <v/>
      </c>
      <c r="AB88" s="13"/>
      <c r="AC88" s="14" t="str">
        <f t="shared" si="60"/>
        <v/>
      </c>
      <c r="AD88" s="13"/>
      <c r="AE88" s="14">
        <f t="shared" si="61"/>
        <v>0</v>
      </c>
      <c r="AF88" s="14">
        <f t="shared" si="62"/>
        <v>0</v>
      </c>
      <c r="AG88" s="13"/>
      <c r="AH88" s="14" t="str">
        <f t="shared" si="63"/>
        <v/>
      </c>
      <c r="AI88" s="13"/>
      <c r="AJ88" s="14" t="str">
        <f t="shared" si="64"/>
        <v/>
      </c>
      <c r="AK88" s="13"/>
      <c r="AL88" s="14" t="str">
        <f t="shared" si="65"/>
        <v/>
      </c>
      <c r="AM88" s="13"/>
      <c r="AN88" s="14" t="str">
        <f t="shared" si="66"/>
        <v/>
      </c>
      <c r="AO88" s="13"/>
      <c r="AP88" s="14" t="str">
        <f t="shared" si="67"/>
        <v/>
      </c>
      <c r="AQ88" s="13"/>
      <c r="AR88" s="14">
        <f t="shared" si="68"/>
        <v>0</v>
      </c>
      <c r="AS88" s="13"/>
      <c r="AT88" s="14">
        <f t="shared" si="69"/>
        <v>0</v>
      </c>
      <c r="AU88" s="14">
        <f t="shared" si="70"/>
        <v>0</v>
      </c>
      <c r="AV88" s="13"/>
      <c r="AW88" s="14" t="str">
        <f t="shared" si="71"/>
        <v/>
      </c>
      <c r="AX88" s="13"/>
      <c r="AY88" s="14" t="str">
        <f t="shared" si="72"/>
        <v/>
      </c>
      <c r="AZ88" s="13"/>
      <c r="BA88" s="14" t="str">
        <f t="shared" si="73"/>
        <v/>
      </c>
      <c r="BB88" s="13"/>
      <c r="BC88" s="14">
        <f t="shared" si="74"/>
        <v>0</v>
      </c>
      <c r="BD88" s="14">
        <f t="shared" si="75"/>
        <v>0</v>
      </c>
      <c r="BE88" s="13"/>
      <c r="BF88" s="14" t="str">
        <f t="shared" si="76"/>
        <v/>
      </c>
      <c r="BG88" s="13"/>
      <c r="BH88" s="14" t="str">
        <f t="shared" si="77"/>
        <v/>
      </c>
      <c r="BI88" s="14">
        <f t="shared" si="78"/>
        <v>0</v>
      </c>
      <c r="BJ88" s="14">
        <f t="shared" si="79"/>
        <v>0</v>
      </c>
      <c r="BK88" s="14" t="str">
        <f t="shared" si="80"/>
        <v>LOW RISK</v>
      </c>
      <c r="BL88" s="14" t="str">
        <f t="shared" si="81"/>
        <v/>
      </c>
      <c r="BM88" s="13"/>
      <c r="BN88" s="12"/>
      <c r="BO88" s="13"/>
      <c r="BP88" s="13"/>
      <c r="BQ88" s="13"/>
      <c r="BR88" s="13"/>
      <c r="BS88" s="13"/>
      <c r="BT88" s="13"/>
      <c r="BU88" s="14" t="str">
        <f t="shared" si="82"/>
        <v/>
      </c>
      <c r="BV88" s="13"/>
      <c r="BW88" s="13"/>
      <c r="BX88" s="13"/>
      <c r="BY88" s="13"/>
      <c r="BZ88" s="13"/>
      <c r="CA88" s="13"/>
      <c r="CB88" s="13"/>
      <c r="CC88" s="14" t="str">
        <f t="shared" si="83"/>
        <v/>
      </c>
      <c r="CD88" s="13"/>
      <c r="CE88" s="13"/>
      <c r="CF88" s="12"/>
      <c r="CG88" s="13"/>
      <c r="CH88" s="13"/>
      <c r="CI88" s="13"/>
      <c r="CJ88" s="13"/>
      <c r="CK88" s="13"/>
      <c r="CL88" s="12"/>
      <c r="CM88" s="13"/>
      <c r="CN88" s="13"/>
      <c r="CO88" s="13"/>
      <c r="CP88" s="12"/>
    </row>
    <row r="89" spans="1:94" x14ac:dyDescent="0.2">
      <c r="A89" s="12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4" t="str">
        <f t="shared" si="56"/>
        <v>✓ Clear to Score</v>
      </c>
      <c r="U89" s="13"/>
      <c r="V89" s="13"/>
      <c r="W89" s="14" t="str">
        <f t="shared" si="57"/>
        <v/>
      </c>
      <c r="X89" s="13"/>
      <c r="Y89" s="14" t="str">
        <f t="shared" si="58"/>
        <v/>
      </c>
      <c r="Z89" s="13"/>
      <c r="AA89" s="14" t="str">
        <f t="shared" si="59"/>
        <v/>
      </c>
      <c r="AB89" s="13"/>
      <c r="AC89" s="14" t="str">
        <f t="shared" si="60"/>
        <v/>
      </c>
      <c r="AD89" s="13"/>
      <c r="AE89" s="14">
        <f t="shared" si="61"/>
        <v>0</v>
      </c>
      <c r="AF89" s="14">
        <f t="shared" si="62"/>
        <v>0</v>
      </c>
      <c r="AG89" s="13"/>
      <c r="AH89" s="14" t="str">
        <f t="shared" si="63"/>
        <v/>
      </c>
      <c r="AI89" s="13"/>
      <c r="AJ89" s="14" t="str">
        <f t="shared" si="64"/>
        <v/>
      </c>
      <c r="AK89" s="13"/>
      <c r="AL89" s="14" t="str">
        <f t="shared" si="65"/>
        <v/>
      </c>
      <c r="AM89" s="13"/>
      <c r="AN89" s="14" t="str">
        <f t="shared" si="66"/>
        <v/>
      </c>
      <c r="AO89" s="13"/>
      <c r="AP89" s="14" t="str">
        <f t="shared" si="67"/>
        <v/>
      </c>
      <c r="AQ89" s="13"/>
      <c r="AR89" s="14">
        <f t="shared" si="68"/>
        <v>0</v>
      </c>
      <c r="AS89" s="13"/>
      <c r="AT89" s="14">
        <f t="shared" si="69"/>
        <v>0</v>
      </c>
      <c r="AU89" s="14">
        <f t="shared" si="70"/>
        <v>0</v>
      </c>
      <c r="AV89" s="13"/>
      <c r="AW89" s="14" t="str">
        <f t="shared" si="71"/>
        <v/>
      </c>
      <c r="AX89" s="13"/>
      <c r="AY89" s="14" t="str">
        <f t="shared" si="72"/>
        <v/>
      </c>
      <c r="AZ89" s="13"/>
      <c r="BA89" s="14" t="str">
        <f t="shared" si="73"/>
        <v/>
      </c>
      <c r="BB89" s="13"/>
      <c r="BC89" s="14">
        <f t="shared" si="74"/>
        <v>0</v>
      </c>
      <c r="BD89" s="14">
        <f t="shared" si="75"/>
        <v>0</v>
      </c>
      <c r="BE89" s="13"/>
      <c r="BF89" s="14" t="str">
        <f t="shared" si="76"/>
        <v/>
      </c>
      <c r="BG89" s="13"/>
      <c r="BH89" s="14" t="str">
        <f t="shared" si="77"/>
        <v/>
      </c>
      <c r="BI89" s="14">
        <f t="shared" si="78"/>
        <v>0</v>
      </c>
      <c r="BJ89" s="14">
        <f t="shared" si="79"/>
        <v>0</v>
      </c>
      <c r="BK89" s="14" t="str">
        <f t="shared" si="80"/>
        <v>LOW RISK</v>
      </c>
      <c r="BL89" s="14" t="str">
        <f t="shared" si="81"/>
        <v/>
      </c>
      <c r="BM89" s="13"/>
      <c r="BN89" s="12"/>
      <c r="BO89" s="13"/>
      <c r="BP89" s="13"/>
      <c r="BQ89" s="13"/>
      <c r="BR89" s="13"/>
      <c r="BS89" s="13"/>
      <c r="BT89" s="13"/>
      <c r="BU89" s="14" t="str">
        <f t="shared" si="82"/>
        <v/>
      </c>
      <c r="BV89" s="13"/>
      <c r="BW89" s="13"/>
      <c r="BX89" s="13"/>
      <c r="BY89" s="13"/>
      <c r="BZ89" s="13"/>
      <c r="CA89" s="13"/>
      <c r="CB89" s="13"/>
      <c r="CC89" s="14" t="str">
        <f t="shared" si="83"/>
        <v/>
      </c>
      <c r="CD89" s="13"/>
      <c r="CE89" s="13"/>
      <c r="CF89" s="12"/>
      <c r="CG89" s="13"/>
      <c r="CH89" s="13"/>
      <c r="CI89" s="13"/>
      <c r="CJ89" s="13"/>
      <c r="CK89" s="13"/>
      <c r="CL89" s="12"/>
      <c r="CM89" s="13"/>
      <c r="CN89" s="13"/>
      <c r="CO89" s="13"/>
      <c r="CP89" s="12"/>
    </row>
    <row r="90" spans="1:94" x14ac:dyDescent="0.2">
      <c r="A90" s="12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4" t="str">
        <f t="shared" si="56"/>
        <v>✓ Clear to Score</v>
      </c>
      <c r="U90" s="13"/>
      <c r="V90" s="13"/>
      <c r="W90" s="14" t="str">
        <f t="shared" si="57"/>
        <v/>
      </c>
      <c r="X90" s="13"/>
      <c r="Y90" s="14" t="str">
        <f t="shared" si="58"/>
        <v/>
      </c>
      <c r="Z90" s="13"/>
      <c r="AA90" s="14" t="str">
        <f t="shared" si="59"/>
        <v/>
      </c>
      <c r="AB90" s="13"/>
      <c r="AC90" s="14" t="str">
        <f t="shared" si="60"/>
        <v/>
      </c>
      <c r="AD90" s="13"/>
      <c r="AE90" s="14">
        <f t="shared" si="61"/>
        <v>0</v>
      </c>
      <c r="AF90" s="14">
        <f t="shared" si="62"/>
        <v>0</v>
      </c>
      <c r="AG90" s="13"/>
      <c r="AH90" s="14" t="str">
        <f t="shared" si="63"/>
        <v/>
      </c>
      <c r="AI90" s="13"/>
      <c r="AJ90" s="14" t="str">
        <f t="shared" si="64"/>
        <v/>
      </c>
      <c r="AK90" s="13"/>
      <c r="AL90" s="14" t="str">
        <f t="shared" si="65"/>
        <v/>
      </c>
      <c r="AM90" s="13"/>
      <c r="AN90" s="14" t="str">
        <f t="shared" si="66"/>
        <v/>
      </c>
      <c r="AO90" s="13"/>
      <c r="AP90" s="14" t="str">
        <f t="shared" si="67"/>
        <v/>
      </c>
      <c r="AQ90" s="13"/>
      <c r="AR90" s="14">
        <f t="shared" si="68"/>
        <v>0</v>
      </c>
      <c r="AS90" s="13"/>
      <c r="AT90" s="14">
        <f t="shared" si="69"/>
        <v>0</v>
      </c>
      <c r="AU90" s="14">
        <f t="shared" si="70"/>
        <v>0</v>
      </c>
      <c r="AV90" s="13"/>
      <c r="AW90" s="14" t="str">
        <f t="shared" si="71"/>
        <v/>
      </c>
      <c r="AX90" s="13"/>
      <c r="AY90" s="14" t="str">
        <f t="shared" si="72"/>
        <v/>
      </c>
      <c r="AZ90" s="13"/>
      <c r="BA90" s="14" t="str">
        <f t="shared" si="73"/>
        <v/>
      </c>
      <c r="BB90" s="13"/>
      <c r="BC90" s="14">
        <f t="shared" si="74"/>
        <v>0</v>
      </c>
      <c r="BD90" s="14">
        <f t="shared" si="75"/>
        <v>0</v>
      </c>
      <c r="BE90" s="13"/>
      <c r="BF90" s="14" t="str">
        <f t="shared" si="76"/>
        <v/>
      </c>
      <c r="BG90" s="13"/>
      <c r="BH90" s="14" t="str">
        <f t="shared" si="77"/>
        <v/>
      </c>
      <c r="BI90" s="14">
        <f t="shared" si="78"/>
        <v>0</v>
      </c>
      <c r="BJ90" s="14">
        <f t="shared" si="79"/>
        <v>0</v>
      </c>
      <c r="BK90" s="14" t="str">
        <f t="shared" si="80"/>
        <v>LOW RISK</v>
      </c>
      <c r="BL90" s="14" t="str">
        <f t="shared" si="81"/>
        <v/>
      </c>
      <c r="BM90" s="13"/>
      <c r="BN90" s="12"/>
      <c r="BO90" s="13"/>
      <c r="BP90" s="13"/>
      <c r="BQ90" s="13"/>
      <c r="BR90" s="13"/>
      <c r="BS90" s="13"/>
      <c r="BT90" s="13"/>
      <c r="BU90" s="14" t="str">
        <f t="shared" si="82"/>
        <v/>
      </c>
      <c r="BV90" s="13"/>
      <c r="BW90" s="13"/>
      <c r="BX90" s="13"/>
      <c r="BY90" s="13"/>
      <c r="BZ90" s="13"/>
      <c r="CA90" s="13"/>
      <c r="CB90" s="13"/>
      <c r="CC90" s="14" t="str">
        <f t="shared" si="83"/>
        <v/>
      </c>
      <c r="CD90" s="13"/>
      <c r="CE90" s="13"/>
      <c r="CF90" s="12"/>
      <c r="CG90" s="13"/>
      <c r="CH90" s="13"/>
      <c r="CI90" s="13"/>
      <c r="CJ90" s="13"/>
      <c r="CK90" s="13"/>
      <c r="CL90" s="12"/>
      <c r="CM90" s="13"/>
      <c r="CN90" s="13"/>
      <c r="CO90" s="13"/>
      <c r="CP90" s="12"/>
    </row>
    <row r="91" spans="1:94" x14ac:dyDescent="0.2">
      <c r="A91" s="12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4" t="str">
        <f t="shared" si="56"/>
        <v>✓ Clear to Score</v>
      </c>
      <c r="U91" s="13"/>
      <c r="V91" s="13"/>
      <c r="W91" s="14" t="str">
        <f t="shared" si="57"/>
        <v/>
      </c>
      <c r="X91" s="13"/>
      <c r="Y91" s="14" t="str">
        <f t="shared" si="58"/>
        <v/>
      </c>
      <c r="Z91" s="13"/>
      <c r="AA91" s="14" t="str">
        <f t="shared" si="59"/>
        <v/>
      </c>
      <c r="AB91" s="13"/>
      <c r="AC91" s="14" t="str">
        <f t="shared" si="60"/>
        <v/>
      </c>
      <c r="AD91" s="13"/>
      <c r="AE91" s="14">
        <f t="shared" si="61"/>
        <v>0</v>
      </c>
      <c r="AF91" s="14">
        <f t="shared" si="62"/>
        <v>0</v>
      </c>
      <c r="AG91" s="13"/>
      <c r="AH91" s="14" t="str">
        <f t="shared" si="63"/>
        <v/>
      </c>
      <c r="AI91" s="13"/>
      <c r="AJ91" s="14" t="str">
        <f t="shared" si="64"/>
        <v/>
      </c>
      <c r="AK91" s="13"/>
      <c r="AL91" s="14" t="str">
        <f t="shared" si="65"/>
        <v/>
      </c>
      <c r="AM91" s="13"/>
      <c r="AN91" s="14" t="str">
        <f t="shared" si="66"/>
        <v/>
      </c>
      <c r="AO91" s="13"/>
      <c r="AP91" s="14" t="str">
        <f t="shared" si="67"/>
        <v/>
      </c>
      <c r="AQ91" s="13"/>
      <c r="AR91" s="14">
        <f t="shared" si="68"/>
        <v>0</v>
      </c>
      <c r="AS91" s="13"/>
      <c r="AT91" s="14">
        <f t="shared" si="69"/>
        <v>0</v>
      </c>
      <c r="AU91" s="14">
        <f t="shared" si="70"/>
        <v>0</v>
      </c>
      <c r="AV91" s="13"/>
      <c r="AW91" s="14" t="str">
        <f t="shared" si="71"/>
        <v/>
      </c>
      <c r="AX91" s="13"/>
      <c r="AY91" s="14" t="str">
        <f t="shared" si="72"/>
        <v/>
      </c>
      <c r="AZ91" s="13"/>
      <c r="BA91" s="14" t="str">
        <f t="shared" si="73"/>
        <v/>
      </c>
      <c r="BB91" s="13"/>
      <c r="BC91" s="14">
        <f t="shared" si="74"/>
        <v>0</v>
      </c>
      <c r="BD91" s="14">
        <f t="shared" si="75"/>
        <v>0</v>
      </c>
      <c r="BE91" s="13"/>
      <c r="BF91" s="14" t="str">
        <f t="shared" si="76"/>
        <v/>
      </c>
      <c r="BG91" s="13"/>
      <c r="BH91" s="14" t="str">
        <f t="shared" si="77"/>
        <v/>
      </c>
      <c r="BI91" s="14">
        <f t="shared" si="78"/>
        <v>0</v>
      </c>
      <c r="BJ91" s="14">
        <f t="shared" si="79"/>
        <v>0</v>
      </c>
      <c r="BK91" s="14" t="str">
        <f t="shared" si="80"/>
        <v>LOW RISK</v>
      </c>
      <c r="BL91" s="14" t="str">
        <f t="shared" si="81"/>
        <v/>
      </c>
      <c r="BM91" s="13"/>
      <c r="BN91" s="12"/>
      <c r="BO91" s="13"/>
      <c r="BP91" s="13"/>
      <c r="BQ91" s="13"/>
      <c r="BR91" s="13"/>
      <c r="BS91" s="13"/>
      <c r="BT91" s="13"/>
      <c r="BU91" s="14" t="str">
        <f t="shared" si="82"/>
        <v/>
      </c>
      <c r="BV91" s="13"/>
      <c r="BW91" s="13"/>
      <c r="BX91" s="13"/>
      <c r="BY91" s="13"/>
      <c r="BZ91" s="13"/>
      <c r="CA91" s="13"/>
      <c r="CB91" s="13"/>
      <c r="CC91" s="14" t="str">
        <f t="shared" si="83"/>
        <v/>
      </c>
      <c r="CD91" s="13"/>
      <c r="CE91" s="13"/>
      <c r="CF91" s="12"/>
      <c r="CG91" s="13"/>
      <c r="CH91" s="13"/>
      <c r="CI91" s="13"/>
      <c r="CJ91" s="13"/>
      <c r="CK91" s="13"/>
      <c r="CL91" s="12"/>
      <c r="CM91" s="13"/>
      <c r="CN91" s="13"/>
      <c r="CO91" s="13"/>
      <c r="CP91" s="12"/>
    </row>
    <row r="92" spans="1:94" x14ac:dyDescent="0.2">
      <c r="A92" s="12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4" t="str">
        <f t="shared" si="56"/>
        <v>✓ Clear to Score</v>
      </c>
      <c r="U92" s="13"/>
      <c r="V92" s="13"/>
      <c r="W92" s="14" t="str">
        <f t="shared" si="57"/>
        <v/>
      </c>
      <c r="X92" s="13"/>
      <c r="Y92" s="14" t="str">
        <f t="shared" si="58"/>
        <v/>
      </c>
      <c r="Z92" s="13"/>
      <c r="AA92" s="14" t="str">
        <f t="shared" si="59"/>
        <v/>
      </c>
      <c r="AB92" s="13"/>
      <c r="AC92" s="14" t="str">
        <f t="shared" si="60"/>
        <v/>
      </c>
      <c r="AD92" s="13"/>
      <c r="AE92" s="14">
        <f t="shared" si="61"/>
        <v>0</v>
      </c>
      <c r="AF92" s="14">
        <f t="shared" si="62"/>
        <v>0</v>
      </c>
      <c r="AG92" s="13"/>
      <c r="AH92" s="14" t="str">
        <f t="shared" si="63"/>
        <v/>
      </c>
      <c r="AI92" s="13"/>
      <c r="AJ92" s="14" t="str">
        <f t="shared" si="64"/>
        <v/>
      </c>
      <c r="AK92" s="13"/>
      <c r="AL92" s="14" t="str">
        <f t="shared" si="65"/>
        <v/>
      </c>
      <c r="AM92" s="13"/>
      <c r="AN92" s="14" t="str">
        <f t="shared" si="66"/>
        <v/>
      </c>
      <c r="AO92" s="13"/>
      <c r="AP92" s="14" t="str">
        <f t="shared" si="67"/>
        <v/>
      </c>
      <c r="AQ92" s="13"/>
      <c r="AR92" s="14">
        <f t="shared" si="68"/>
        <v>0</v>
      </c>
      <c r="AS92" s="13"/>
      <c r="AT92" s="14">
        <f t="shared" si="69"/>
        <v>0</v>
      </c>
      <c r="AU92" s="14">
        <f t="shared" si="70"/>
        <v>0</v>
      </c>
      <c r="AV92" s="13"/>
      <c r="AW92" s="14" t="str">
        <f t="shared" si="71"/>
        <v/>
      </c>
      <c r="AX92" s="13"/>
      <c r="AY92" s="14" t="str">
        <f t="shared" si="72"/>
        <v/>
      </c>
      <c r="AZ92" s="13"/>
      <c r="BA92" s="14" t="str">
        <f t="shared" si="73"/>
        <v/>
      </c>
      <c r="BB92" s="13"/>
      <c r="BC92" s="14">
        <f t="shared" si="74"/>
        <v>0</v>
      </c>
      <c r="BD92" s="14">
        <f t="shared" si="75"/>
        <v>0</v>
      </c>
      <c r="BE92" s="13"/>
      <c r="BF92" s="14" t="str">
        <f t="shared" si="76"/>
        <v/>
      </c>
      <c r="BG92" s="13"/>
      <c r="BH92" s="14" t="str">
        <f t="shared" si="77"/>
        <v/>
      </c>
      <c r="BI92" s="14">
        <f t="shared" si="78"/>
        <v>0</v>
      </c>
      <c r="BJ92" s="14">
        <f t="shared" si="79"/>
        <v>0</v>
      </c>
      <c r="BK92" s="14" t="str">
        <f t="shared" si="80"/>
        <v>LOW RISK</v>
      </c>
      <c r="BL92" s="14" t="str">
        <f t="shared" si="81"/>
        <v/>
      </c>
      <c r="BM92" s="13"/>
      <c r="BN92" s="12"/>
      <c r="BO92" s="13"/>
      <c r="BP92" s="13"/>
      <c r="BQ92" s="13"/>
      <c r="BR92" s="13"/>
      <c r="BS92" s="13"/>
      <c r="BT92" s="13"/>
      <c r="BU92" s="14" t="str">
        <f t="shared" si="82"/>
        <v/>
      </c>
      <c r="BV92" s="13"/>
      <c r="BW92" s="13"/>
      <c r="BX92" s="13"/>
      <c r="BY92" s="13"/>
      <c r="BZ92" s="13"/>
      <c r="CA92" s="13"/>
      <c r="CB92" s="13"/>
      <c r="CC92" s="14" t="str">
        <f t="shared" si="83"/>
        <v/>
      </c>
      <c r="CD92" s="13"/>
      <c r="CE92" s="13"/>
      <c r="CF92" s="12"/>
      <c r="CG92" s="13"/>
      <c r="CH92" s="13"/>
      <c r="CI92" s="13"/>
      <c r="CJ92" s="13"/>
      <c r="CK92" s="13"/>
      <c r="CL92" s="12"/>
      <c r="CM92" s="13"/>
      <c r="CN92" s="13"/>
      <c r="CO92" s="13"/>
      <c r="CP92" s="12"/>
    </row>
    <row r="93" spans="1:94" x14ac:dyDescent="0.2">
      <c r="A93" s="12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4" t="str">
        <f t="shared" si="56"/>
        <v>✓ Clear to Score</v>
      </c>
      <c r="U93" s="13"/>
      <c r="V93" s="13"/>
      <c r="W93" s="14" t="str">
        <f t="shared" si="57"/>
        <v/>
      </c>
      <c r="X93" s="13"/>
      <c r="Y93" s="14" t="str">
        <f t="shared" si="58"/>
        <v/>
      </c>
      <c r="Z93" s="13"/>
      <c r="AA93" s="14" t="str">
        <f t="shared" si="59"/>
        <v/>
      </c>
      <c r="AB93" s="13"/>
      <c r="AC93" s="14" t="str">
        <f t="shared" si="60"/>
        <v/>
      </c>
      <c r="AD93" s="13"/>
      <c r="AE93" s="14">
        <f t="shared" si="61"/>
        <v>0</v>
      </c>
      <c r="AF93" s="14">
        <f t="shared" si="62"/>
        <v>0</v>
      </c>
      <c r="AG93" s="13"/>
      <c r="AH93" s="14" t="str">
        <f t="shared" si="63"/>
        <v/>
      </c>
      <c r="AI93" s="13"/>
      <c r="AJ93" s="14" t="str">
        <f t="shared" si="64"/>
        <v/>
      </c>
      <c r="AK93" s="13"/>
      <c r="AL93" s="14" t="str">
        <f t="shared" si="65"/>
        <v/>
      </c>
      <c r="AM93" s="13"/>
      <c r="AN93" s="14" t="str">
        <f t="shared" si="66"/>
        <v/>
      </c>
      <c r="AO93" s="13"/>
      <c r="AP93" s="14" t="str">
        <f t="shared" si="67"/>
        <v/>
      </c>
      <c r="AQ93" s="13"/>
      <c r="AR93" s="14">
        <f t="shared" si="68"/>
        <v>0</v>
      </c>
      <c r="AS93" s="13"/>
      <c r="AT93" s="14">
        <f t="shared" si="69"/>
        <v>0</v>
      </c>
      <c r="AU93" s="14">
        <f t="shared" si="70"/>
        <v>0</v>
      </c>
      <c r="AV93" s="13"/>
      <c r="AW93" s="14" t="str">
        <f t="shared" si="71"/>
        <v/>
      </c>
      <c r="AX93" s="13"/>
      <c r="AY93" s="14" t="str">
        <f t="shared" si="72"/>
        <v/>
      </c>
      <c r="AZ93" s="13"/>
      <c r="BA93" s="14" t="str">
        <f t="shared" si="73"/>
        <v/>
      </c>
      <c r="BB93" s="13"/>
      <c r="BC93" s="14">
        <f t="shared" si="74"/>
        <v>0</v>
      </c>
      <c r="BD93" s="14">
        <f t="shared" si="75"/>
        <v>0</v>
      </c>
      <c r="BE93" s="13"/>
      <c r="BF93" s="14" t="str">
        <f t="shared" si="76"/>
        <v/>
      </c>
      <c r="BG93" s="13"/>
      <c r="BH93" s="14" t="str">
        <f t="shared" si="77"/>
        <v/>
      </c>
      <c r="BI93" s="14">
        <f t="shared" si="78"/>
        <v>0</v>
      </c>
      <c r="BJ93" s="14">
        <f t="shared" si="79"/>
        <v>0</v>
      </c>
      <c r="BK93" s="14" t="str">
        <f t="shared" si="80"/>
        <v>LOW RISK</v>
      </c>
      <c r="BL93" s="14" t="str">
        <f t="shared" si="81"/>
        <v/>
      </c>
      <c r="BM93" s="13"/>
      <c r="BN93" s="12"/>
      <c r="BO93" s="13"/>
      <c r="BP93" s="13"/>
      <c r="BQ93" s="13"/>
      <c r="BR93" s="13"/>
      <c r="BS93" s="13"/>
      <c r="BT93" s="13"/>
      <c r="BU93" s="14" t="str">
        <f t="shared" si="82"/>
        <v/>
      </c>
      <c r="BV93" s="13"/>
      <c r="BW93" s="13"/>
      <c r="BX93" s="13"/>
      <c r="BY93" s="13"/>
      <c r="BZ93" s="13"/>
      <c r="CA93" s="13"/>
      <c r="CB93" s="13"/>
      <c r="CC93" s="14" t="str">
        <f t="shared" si="83"/>
        <v/>
      </c>
      <c r="CD93" s="13"/>
      <c r="CE93" s="13"/>
      <c r="CF93" s="12"/>
      <c r="CG93" s="13"/>
      <c r="CH93" s="13"/>
      <c r="CI93" s="13"/>
      <c r="CJ93" s="13"/>
      <c r="CK93" s="13"/>
      <c r="CL93" s="12"/>
      <c r="CM93" s="13"/>
      <c r="CN93" s="13"/>
      <c r="CO93" s="13"/>
      <c r="CP93" s="12"/>
    </row>
    <row r="94" spans="1:94" x14ac:dyDescent="0.2">
      <c r="A94" s="12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4" t="str">
        <f t="shared" si="56"/>
        <v>✓ Clear to Score</v>
      </c>
      <c r="U94" s="13"/>
      <c r="V94" s="13"/>
      <c r="W94" s="14" t="str">
        <f t="shared" si="57"/>
        <v/>
      </c>
      <c r="X94" s="13"/>
      <c r="Y94" s="14" t="str">
        <f t="shared" si="58"/>
        <v/>
      </c>
      <c r="Z94" s="13"/>
      <c r="AA94" s="14" t="str">
        <f t="shared" si="59"/>
        <v/>
      </c>
      <c r="AB94" s="13"/>
      <c r="AC94" s="14" t="str">
        <f t="shared" si="60"/>
        <v/>
      </c>
      <c r="AD94" s="13"/>
      <c r="AE94" s="14">
        <f t="shared" si="61"/>
        <v>0</v>
      </c>
      <c r="AF94" s="14">
        <f t="shared" si="62"/>
        <v>0</v>
      </c>
      <c r="AG94" s="13"/>
      <c r="AH94" s="14" t="str">
        <f t="shared" si="63"/>
        <v/>
      </c>
      <c r="AI94" s="13"/>
      <c r="AJ94" s="14" t="str">
        <f t="shared" si="64"/>
        <v/>
      </c>
      <c r="AK94" s="13"/>
      <c r="AL94" s="14" t="str">
        <f t="shared" si="65"/>
        <v/>
      </c>
      <c r="AM94" s="13"/>
      <c r="AN94" s="14" t="str">
        <f t="shared" si="66"/>
        <v/>
      </c>
      <c r="AO94" s="13"/>
      <c r="AP94" s="14" t="str">
        <f t="shared" si="67"/>
        <v/>
      </c>
      <c r="AQ94" s="13"/>
      <c r="AR94" s="14">
        <f t="shared" si="68"/>
        <v>0</v>
      </c>
      <c r="AS94" s="13"/>
      <c r="AT94" s="14">
        <f t="shared" si="69"/>
        <v>0</v>
      </c>
      <c r="AU94" s="14">
        <f t="shared" si="70"/>
        <v>0</v>
      </c>
      <c r="AV94" s="13"/>
      <c r="AW94" s="14" t="str">
        <f t="shared" si="71"/>
        <v/>
      </c>
      <c r="AX94" s="13"/>
      <c r="AY94" s="14" t="str">
        <f t="shared" si="72"/>
        <v/>
      </c>
      <c r="AZ94" s="13"/>
      <c r="BA94" s="14" t="str">
        <f t="shared" si="73"/>
        <v/>
      </c>
      <c r="BB94" s="13"/>
      <c r="BC94" s="14">
        <f t="shared" si="74"/>
        <v>0</v>
      </c>
      <c r="BD94" s="14">
        <f t="shared" si="75"/>
        <v>0</v>
      </c>
      <c r="BE94" s="13"/>
      <c r="BF94" s="14" t="str">
        <f t="shared" si="76"/>
        <v/>
      </c>
      <c r="BG94" s="13"/>
      <c r="BH94" s="14" t="str">
        <f t="shared" si="77"/>
        <v/>
      </c>
      <c r="BI94" s="14">
        <f t="shared" si="78"/>
        <v>0</v>
      </c>
      <c r="BJ94" s="14">
        <f t="shared" si="79"/>
        <v>0</v>
      </c>
      <c r="BK94" s="14" t="str">
        <f t="shared" si="80"/>
        <v>LOW RISK</v>
      </c>
      <c r="BL94" s="14" t="str">
        <f t="shared" si="81"/>
        <v/>
      </c>
      <c r="BM94" s="13"/>
      <c r="BN94" s="12"/>
      <c r="BO94" s="13"/>
      <c r="BP94" s="13"/>
      <c r="BQ94" s="13"/>
      <c r="BR94" s="13"/>
      <c r="BS94" s="13"/>
      <c r="BT94" s="13"/>
      <c r="BU94" s="14" t="str">
        <f t="shared" si="82"/>
        <v/>
      </c>
      <c r="BV94" s="13"/>
      <c r="BW94" s="13"/>
      <c r="BX94" s="13"/>
      <c r="BY94" s="13"/>
      <c r="BZ94" s="13"/>
      <c r="CA94" s="13"/>
      <c r="CB94" s="13"/>
      <c r="CC94" s="14" t="str">
        <f t="shared" si="83"/>
        <v/>
      </c>
      <c r="CD94" s="13"/>
      <c r="CE94" s="13"/>
      <c r="CF94" s="12"/>
      <c r="CG94" s="13"/>
      <c r="CH94" s="13"/>
      <c r="CI94" s="13"/>
      <c r="CJ94" s="13"/>
      <c r="CK94" s="13"/>
      <c r="CL94" s="12"/>
      <c r="CM94" s="13"/>
      <c r="CN94" s="13"/>
      <c r="CO94" s="13"/>
      <c r="CP94" s="12"/>
    </row>
    <row r="95" spans="1:94" x14ac:dyDescent="0.2">
      <c r="A95" s="12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4" t="str">
        <f t="shared" si="56"/>
        <v>✓ Clear to Score</v>
      </c>
      <c r="U95" s="13"/>
      <c r="V95" s="13"/>
      <c r="W95" s="14" t="str">
        <f t="shared" si="57"/>
        <v/>
      </c>
      <c r="X95" s="13"/>
      <c r="Y95" s="14" t="str">
        <f t="shared" si="58"/>
        <v/>
      </c>
      <c r="Z95" s="13"/>
      <c r="AA95" s="14" t="str">
        <f t="shared" si="59"/>
        <v/>
      </c>
      <c r="AB95" s="13"/>
      <c r="AC95" s="14" t="str">
        <f t="shared" si="60"/>
        <v/>
      </c>
      <c r="AD95" s="13"/>
      <c r="AE95" s="14">
        <f t="shared" si="61"/>
        <v>0</v>
      </c>
      <c r="AF95" s="14">
        <f t="shared" si="62"/>
        <v>0</v>
      </c>
      <c r="AG95" s="13"/>
      <c r="AH95" s="14" t="str">
        <f t="shared" si="63"/>
        <v/>
      </c>
      <c r="AI95" s="13"/>
      <c r="AJ95" s="14" t="str">
        <f t="shared" si="64"/>
        <v/>
      </c>
      <c r="AK95" s="13"/>
      <c r="AL95" s="14" t="str">
        <f t="shared" si="65"/>
        <v/>
      </c>
      <c r="AM95" s="13"/>
      <c r="AN95" s="14" t="str">
        <f t="shared" si="66"/>
        <v/>
      </c>
      <c r="AO95" s="13"/>
      <c r="AP95" s="14" t="str">
        <f t="shared" si="67"/>
        <v/>
      </c>
      <c r="AQ95" s="13"/>
      <c r="AR95" s="14">
        <f t="shared" si="68"/>
        <v>0</v>
      </c>
      <c r="AS95" s="13"/>
      <c r="AT95" s="14">
        <f t="shared" si="69"/>
        <v>0</v>
      </c>
      <c r="AU95" s="14">
        <f t="shared" si="70"/>
        <v>0</v>
      </c>
      <c r="AV95" s="13"/>
      <c r="AW95" s="14" t="str">
        <f t="shared" si="71"/>
        <v/>
      </c>
      <c r="AX95" s="13"/>
      <c r="AY95" s="14" t="str">
        <f t="shared" si="72"/>
        <v/>
      </c>
      <c r="AZ95" s="13"/>
      <c r="BA95" s="14" t="str">
        <f t="shared" si="73"/>
        <v/>
      </c>
      <c r="BB95" s="13"/>
      <c r="BC95" s="14">
        <f t="shared" si="74"/>
        <v>0</v>
      </c>
      <c r="BD95" s="14">
        <f t="shared" si="75"/>
        <v>0</v>
      </c>
      <c r="BE95" s="13"/>
      <c r="BF95" s="14" t="str">
        <f t="shared" si="76"/>
        <v/>
      </c>
      <c r="BG95" s="13"/>
      <c r="BH95" s="14" t="str">
        <f t="shared" si="77"/>
        <v/>
      </c>
      <c r="BI95" s="14">
        <f t="shared" si="78"/>
        <v>0</v>
      </c>
      <c r="BJ95" s="14">
        <f t="shared" si="79"/>
        <v>0</v>
      </c>
      <c r="BK95" s="14" t="str">
        <f t="shared" si="80"/>
        <v>LOW RISK</v>
      </c>
      <c r="BL95" s="14" t="str">
        <f t="shared" si="81"/>
        <v/>
      </c>
      <c r="BM95" s="13"/>
      <c r="BN95" s="12"/>
      <c r="BO95" s="13"/>
      <c r="BP95" s="13"/>
      <c r="BQ95" s="13"/>
      <c r="BR95" s="13"/>
      <c r="BS95" s="13"/>
      <c r="BT95" s="13"/>
      <c r="BU95" s="14" t="str">
        <f t="shared" si="82"/>
        <v/>
      </c>
      <c r="BV95" s="13"/>
      <c r="BW95" s="13"/>
      <c r="BX95" s="13"/>
      <c r="BY95" s="13"/>
      <c r="BZ95" s="13"/>
      <c r="CA95" s="13"/>
      <c r="CB95" s="13"/>
      <c r="CC95" s="14" t="str">
        <f t="shared" si="83"/>
        <v/>
      </c>
      <c r="CD95" s="13"/>
      <c r="CE95" s="13"/>
      <c r="CF95" s="12"/>
      <c r="CG95" s="13"/>
      <c r="CH95" s="13"/>
      <c r="CI95" s="13"/>
      <c r="CJ95" s="13"/>
      <c r="CK95" s="13"/>
      <c r="CL95" s="12"/>
      <c r="CM95" s="13"/>
      <c r="CN95" s="13"/>
      <c r="CO95" s="13"/>
      <c r="CP95" s="12"/>
    </row>
    <row r="96" spans="1:94" x14ac:dyDescent="0.2">
      <c r="A96" s="12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4" t="str">
        <f t="shared" si="56"/>
        <v>✓ Clear to Score</v>
      </c>
      <c r="U96" s="13"/>
      <c r="V96" s="13"/>
      <c r="W96" s="14" t="str">
        <f t="shared" si="57"/>
        <v/>
      </c>
      <c r="X96" s="13"/>
      <c r="Y96" s="14" t="str">
        <f t="shared" si="58"/>
        <v/>
      </c>
      <c r="Z96" s="13"/>
      <c r="AA96" s="14" t="str">
        <f t="shared" si="59"/>
        <v/>
      </c>
      <c r="AB96" s="13"/>
      <c r="AC96" s="14" t="str">
        <f t="shared" si="60"/>
        <v/>
      </c>
      <c r="AD96" s="13"/>
      <c r="AE96" s="14">
        <f t="shared" si="61"/>
        <v>0</v>
      </c>
      <c r="AF96" s="14">
        <f t="shared" si="62"/>
        <v>0</v>
      </c>
      <c r="AG96" s="13"/>
      <c r="AH96" s="14" t="str">
        <f t="shared" si="63"/>
        <v/>
      </c>
      <c r="AI96" s="13"/>
      <c r="AJ96" s="14" t="str">
        <f t="shared" si="64"/>
        <v/>
      </c>
      <c r="AK96" s="13"/>
      <c r="AL96" s="14" t="str">
        <f t="shared" si="65"/>
        <v/>
      </c>
      <c r="AM96" s="13"/>
      <c r="AN96" s="14" t="str">
        <f t="shared" si="66"/>
        <v/>
      </c>
      <c r="AO96" s="13"/>
      <c r="AP96" s="14" t="str">
        <f t="shared" si="67"/>
        <v/>
      </c>
      <c r="AQ96" s="13"/>
      <c r="AR96" s="14">
        <f t="shared" si="68"/>
        <v>0</v>
      </c>
      <c r="AS96" s="13"/>
      <c r="AT96" s="14">
        <f t="shared" si="69"/>
        <v>0</v>
      </c>
      <c r="AU96" s="14">
        <f t="shared" si="70"/>
        <v>0</v>
      </c>
      <c r="AV96" s="13"/>
      <c r="AW96" s="14" t="str">
        <f t="shared" si="71"/>
        <v/>
      </c>
      <c r="AX96" s="13"/>
      <c r="AY96" s="14" t="str">
        <f t="shared" si="72"/>
        <v/>
      </c>
      <c r="AZ96" s="13"/>
      <c r="BA96" s="14" t="str">
        <f t="shared" si="73"/>
        <v/>
      </c>
      <c r="BB96" s="13"/>
      <c r="BC96" s="14">
        <f t="shared" si="74"/>
        <v>0</v>
      </c>
      <c r="BD96" s="14">
        <f t="shared" si="75"/>
        <v>0</v>
      </c>
      <c r="BE96" s="13"/>
      <c r="BF96" s="14" t="str">
        <f t="shared" si="76"/>
        <v/>
      </c>
      <c r="BG96" s="13"/>
      <c r="BH96" s="14" t="str">
        <f t="shared" si="77"/>
        <v/>
      </c>
      <c r="BI96" s="14">
        <f t="shared" si="78"/>
        <v>0</v>
      </c>
      <c r="BJ96" s="14">
        <f t="shared" si="79"/>
        <v>0</v>
      </c>
      <c r="BK96" s="14" t="str">
        <f t="shared" si="80"/>
        <v>LOW RISK</v>
      </c>
      <c r="BL96" s="14" t="str">
        <f t="shared" si="81"/>
        <v/>
      </c>
      <c r="BM96" s="13"/>
      <c r="BN96" s="12"/>
      <c r="BO96" s="13"/>
      <c r="BP96" s="13"/>
      <c r="BQ96" s="13"/>
      <c r="BR96" s="13"/>
      <c r="BS96" s="13"/>
      <c r="BT96" s="13"/>
      <c r="BU96" s="14" t="str">
        <f t="shared" si="82"/>
        <v/>
      </c>
      <c r="BV96" s="13"/>
      <c r="BW96" s="13"/>
      <c r="BX96" s="13"/>
      <c r="BY96" s="13"/>
      <c r="BZ96" s="13"/>
      <c r="CA96" s="13"/>
      <c r="CB96" s="13"/>
      <c r="CC96" s="14" t="str">
        <f t="shared" si="83"/>
        <v/>
      </c>
      <c r="CD96" s="13"/>
      <c r="CE96" s="13"/>
      <c r="CF96" s="12"/>
      <c r="CG96" s="13"/>
      <c r="CH96" s="13"/>
      <c r="CI96" s="13"/>
      <c r="CJ96" s="13"/>
      <c r="CK96" s="13"/>
      <c r="CL96" s="12"/>
      <c r="CM96" s="13"/>
      <c r="CN96" s="13"/>
      <c r="CO96" s="13"/>
      <c r="CP96" s="12"/>
    </row>
    <row r="97" spans="1:94" x14ac:dyDescent="0.2">
      <c r="A97" s="12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4" t="str">
        <f t="shared" si="56"/>
        <v>✓ Clear to Score</v>
      </c>
      <c r="U97" s="13"/>
      <c r="V97" s="13"/>
      <c r="W97" s="14" t="str">
        <f t="shared" si="57"/>
        <v/>
      </c>
      <c r="X97" s="13"/>
      <c r="Y97" s="14" t="str">
        <f t="shared" si="58"/>
        <v/>
      </c>
      <c r="Z97" s="13"/>
      <c r="AA97" s="14" t="str">
        <f t="shared" si="59"/>
        <v/>
      </c>
      <c r="AB97" s="13"/>
      <c r="AC97" s="14" t="str">
        <f t="shared" si="60"/>
        <v/>
      </c>
      <c r="AD97" s="13"/>
      <c r="AE97" s="14">
        <f t="shared" si="61"/>
        <v>0</v>
      </c>
      <c r="AF97" s="14">
        <f t="shared" si="62"/>
        <v>0</v>
      </c>
      <c r="AG97" s="13"/>
      <c r="AH97" s="14" t="str">
        <f t="shared" si="63"/>
        <v/>
      </c>
      <c r="AI97" s="13"/>
      <c r="AJ97" s="14" t="str">
        <f t="shared" si="64"/>
        <v/>
      </c>
      <c r="AK97" s="13"/>
      <c r="AL97" s="14" t="str">
        <f t="shared" si="65"/>
        <v/>
      </c>
      <c r="AM97" s="13"/>
      <c r="AN97" s="14" t="str">
        <f t="shared" si="66"/>
        <v/>
      </c>
      <c r="AO97" s="13"/>
      <c r="AP97" s="14" t="str">
        <f t="shared" si="67"/>
        <v/>
      </c>
      <c r="AQ97" s="13"/>
      <c r="AR97" s="14">
        <f t="shared" si="68"/>
        <v>0</v>
      </c>
      <c r="AS97" s="13"/>
      <c r="AT97" s="14">
        <f t="shared" si="69"/>
        <v>0</v>
      </c>
      <c r="AU97" s="14">
        <f t="shared" si="70"/>
        <v>0</v>
      </c>
      <c r="AV97" s="13"/>
      <c r="AW97" s="14" t="str">
        <f t="shared" si="71"/>
        <v/>
      </c>
      <c r="AX97" s="13"/>
      <c r="AY97" s="14" t="str">
        <f t="shared" si="72"/>
        <v/>
      </c>
      <c r="AZ97" s="13"/>
      <c r="BA97" s="14" t="str">
        <f t="shared" si="73"/>
        <v/>
      </c>
      <c r="BB97" s="13"/>
      <c r="BC97" s="14">
        <f t="shared" si="74"/>
        <v>0</v>
      </c>
      <c r="BD97" s="14">
        <f t="shared" si="75"/>
        <v>0</v>
      </c>
      <c r="BE97" s="13"/>
      <c r="BF97" s="14" t="str">
        <f t="shared" si="76"/>
        <v/>
      </c>
      <c r="BG97" s="13"/>
      <c r="BH97" s="14" t="str">
        <f t="shared" si="77"/>
        <v/>
      </c>
      <c r="BI97" s="14">
        <f t="shared" si="78"/>
        <v>0</v>
      </c>
      <c r="BJ97" s="14">
        <f t="shared" si="79"/>
        <v>0</v>
      </c>
      <c r="BK97" s="14" t="str">
        <f t="shared" si="80"/>
        <v>LOW RISK</v>
      </c>
      <c r="BL97" s="14" t="str">
        <f t="shared" si="81"/>
        <v/>
      </c>
      <c r="BM97" s="13"/>
      <c r="BN97" s="12"/>
      <c r="BO97" s="13"/>
      <c r="BP97" s="13"/>
      <c r="BQ97" s="13"/>
      <c r="BR97" s="13"/>
      <c r="BS97" s="13"/>
      <c r="BT97" s="13"/>
      <c r="BU97" s="14" t="str">
        <f t="shared" si="82"/>
        <v/>
      </c>
      <c r="BV97" s="13"/>
      <c r="BW97" s="13"/>
      <c r="BX97" s="13"/>
      <c r="BY97" s="13"/>
      <c r="BZ97" s="13"/>
      <c r="CA97" s="13"/>
      <c r="CB97" s="13"/>
      <c r="CC97" s="14" t="str">
        <f t="shared" si="83"/>
        <v/>
      </c>
      <c r="CD97" s="13"/>
      <c r="CE97" s="13"/>
      <c r="CF97" s="12"/>
      <c r="CG97" s="13"/>
      <c r="CH97" s="13"/>
      <c r="CI97" s="13"/>
      <c r="CJ97" s="13"/>
      <c r="CK97" s="13"/>
      <c r="CL97" s="12"/>
      <c r="CM97" s="13"/>
      <c r="CN97" s="13"/>
      <c r="CO97" s="13"/>
      <c r="CP97" s="12"/>
    </row>
    <row r="98" spans="1:94" x14ac:dyDescent="0.2">
      <c r="A98" s="12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4" t="str">
        <f t="shared" si="56"/>
        <v>✓ Clear to Score</v>
      </c>
      <c r="U98" s="13"/>
      <c r="V98" s="13"/>
      <c r="W98" s="14" t="str">
        <f t="shared" si="57"/>
        <v/>
      </c>
      <c r="X98" s="13"/>
      <c r="Y98" s="14" t="str">
        <f t="shared" si="58"/>
        <v/>
      </c>
      <c r="Z98" s="13"/>
      <c r="AA98" s="14" t="str">
        <f t="shared" si="59"/>
        <v/>
      </c>
      <c r="AB98" s="13"/>
      <c r="AC98" s="14" t="str">
        <f t="shared" si="60"/>
        <v/>
      </c>
      <c r="AD98" s="13"/>
      <c r="AE98" s="14">
        <f t="shared" si="61"/>
        <v>0</v>
      </c>
      <c r="AF98" s="14">
        <f t="shared" si="62"/>
        <v>0</v>
      </c>
      <c r="AG98" s="13"/>
      <c r="AH98" s="14" t="str">
        <f t="shared" si="63"/>
        <v/>
      </c>
      <c r="AI98" s="13"/>
      <c r="AJ98" s="14" t="str">
        <f t="shared" si="64"/>
        <v/>
      </c>
      <c r="AK98" s="13"/>
      <c r="AL98" s="14" t="str">
        <f t="shared" si="65"/>
        <v/>
      </c>
      <c r="AM98" s="13"/>
      <c r="AN98" s="14" t="str">
        <f t="shared" si="66"/>
        <v/>
      </c>
      <c r="AO98" s="13"/>
      <c r="AP98" s="14" t="str">
        <f t="shared" si="67"/>
        <v/>
      </c>
      <c r="AQ98" s="13"/>
      <c r="AR98" s="14">
        <f t="shared" si="68"/>
        <v>0</v>
      </c>
      <c r="AS98" s="13"/>
      <c r="AT98" s="14">
        <f t="shared" si="69"/>
        <v>0</v>
      </c>
      <c r="AU98" s="14">
        <f t="shared" si="70"/>
        <v>0</v>
      </c>
      <c r="AV98" s="13"/>
      <c r="AW98" s="14" t="str">
        <f t="shared" si="71"/>
        <v/>
      </c>
      <c r="AX98" s="13"/>
      <c r="AY98" s="14" t="str">
        <f t="shared" si="72"/>
        <v/>
      </c>
      <c r="AZ98" s="13"/>
      <c r="BA98" s="14" t="str">
        <f t="shared" si="73"/>
        <v/>
      </c>
      <c r="BB98" s="13"/>
      <c r="BC98" s="14">
        <f t="shared" si="74"/>
        <v>0</v>
      </c>
      <c r="BD98" s="14">
        <f t="shared" si="75"/>
        <v>0</v>
      </c>
      <c r="BE98" s="13"/>
      <c r="BF98" s="14" t="str">
        <f t="shared" si="76"/>
        <v/>
      </c>
      <c r="BG98" s="13"/>
      <c r="BH98" s="14" t="str">
        <f t="shared" si="77"/>
        <v/>
      </c>
      <c r="BI98" s="14">
        <f t="shared" si="78"/>
        <v>0</v>
      </c>
      <c r="BJ98" s="14">
        <f t="shared" si="79"/>
        <v>0</v>
      </c>
      <c r="BK98" s="14" t="str">
        <f t="shared" si="80"/>
        <v>LOW RISK</v>
      </c>
      <c r="BL98" s="14" t="str">
        <f t="shared" si="81"/>
        <v/>
      </c>
      <c r="BM98" s="13"/>
      <c r="BN98" s="12"/>
      <c r="BO98" s="13"/>
      <c r="BP98" s="13"/>
      <c r="BQ98" s="13"/>
      <c r="BR98" s="13"/>
      <c r="BS98" s="13"/>
      <c r="BT98" s="13"/>
      <c r="BU98" s="14" t="str">
        <f t="shared" si="82"/>
        <v/>
      </c>
      <c r="BV98" s="13"/>
      <c r="BW98" s="13"/>
      <c r="BX98" s="13"/>
      <c r="BY98" s="13"/>
      <c r="BZ98" s="13"/>
      <c r="CA98" s="13"/>
      <c r="CB98" s="13"/>
      <c r="CC98" s="14" t="str">
        <f t="shared" si="83"/>
        <v/>
      </c>
      <c r="CD98" s="13"/>
      <c r="CE98" s="13"/>
      <c r="CF98" s="12"/>
      <c r="CG98" s="13"/>
      <c r="CH98" s="13"/>
      <c r="CI98" s="13"/>
      <c r="CJ98" s="13"/>
      <c r="CK98" s="13"/>
      <c r="CL98" s="12"/>
      <c r="CM98" s="13"/>
      <c r="CN98" s="13"/>
      <c r="CO98" s="13"/>
      <c r="CP98" s="12"/>
    </row>
    <row r="99" spans="1:94" x14ac:dyDescent="0.2">
      <c r="A99" s="12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4" t="str">
        <f t="shared" ref="T99:T130" si="84">IF(COUNTIF(K99:S99,"Y")&gt;0,"STOP — ABS CI PRESENT","✓ Clear to Score")</f>
        <v>✓ Clear to Score</v>
      </c>
      <c r="U99" s="13"/>
      <c r="V99" s="13"/>
      <c r="W99" s="14" t="str">
        <f t="shared" ref="W99:W130" si="85">IFERROR(IF(V99="","",IF(V99="≥3.5 g/dL",0,IF(V99="3.0-3.49 g/dL",1,IF(V99="2.5-2.99 g/dL",3,0)))),"")</f>
        <v/>
      </c>
      <c r="X99" s="13"/>
      <c r="Y99" s="14" t="str">
        <f t="shared" ref="Y99:Y130" si="86">IFERROR(IF(X99="","",IF(X99="≥18 mg/dL",0,IF(X99="12-17.9 mg/dL",1,2))),"")</f>
        <v/>
      </c>
      <c r="Z99" s="13"/>
      <c r="AA99" s="14" t="str">
        <f t="shared" ref="AA99:AA130" si="87">IFERROR(IF(Z99="","",IF(ISNUMBER(SEARCH("Normal",Z99)),0,IF(ISNUMBER(SEARCH("Borderline",Z99)),1,3))),"")</f>
        <v/>
      </c>
      <c r="AB99" s="13"/>
      <c r="AC99" s="14" t="str">
        <f t="shared" ref="AC99:AC130" si="88">IFERROR(IF(U99="N",0,IF(AB99="","",IF(AB99="0.5-2.0 ng/mL",1,0))),"")</f>
        <v/>
      </c>
      <c r="AD99" s="13"/>
      <c r="AE99" s="14">
        <f t="shared" ref="AE99:AE130" si="89">IFERROR(IF(U99="N",0,IF(AD99="Y",1,0)),"")</f>
        <v>0</v>
      </c>
      <c r="AF99" s="14">
        <f t="shared" ref="AF99:AF130" si="90">IFERROR(SUM(W99,Y99,AA99,AC99,AE99),"")</f>
        <v>0</v>
      </c>
      <c r="AG99" s="13"/>
      <c r="AH99" s="14" t="str">
        <f t="shared" ref="AH99:AH130" si="91">IFERROR(IF(AG99="","",IF(AG99="Ischial",3,IF(AG99="Multiple Sites",1,0))),"")</f>
        <v/>
      </c>
      <c r="AI99" s="13"/>
      <c r="AJ99" s="14" t="str">
        <f t="shared" ref="AJ99:AJ130" si="92">IFERROR(IF(AI99="","",IF(AI99="&lt;50 cm²",0,IF(AI99="50-100 cm²",1,2))),"")</f>
        <v/>
      </c>
      <c r="AK99" s="13"/>
      <c r="AL99" s="14" t="str">
        <f t="shared" ref="AL99:AL130" si="93">IFERROR(IF(AK99="","",IF(AK99="None",0,IF(AK99="Chronic (&gt;4wk + sequestrum/sinus)",1,3))),"")</f>
        <v/>
      </c>
      <c r="AM99" s="13"/>
      <c r="AN99" s="14" t="str">
        <f t="shared" ref="AN99:AN130" si="94">IFERROR(IF(AM99="","",IF(AM99="None",0,IF(AM99="1 prior flap",2,3))),"")</f>
        <v/>
      </c>
      <c r="AO99" s="13"/>
      <c r="AP99" s="14" t="str">
        <f t="shared" ref="AP99:AP130" si="95">IFERROR(IF(AO99="","",IF(AO99="None",0,IF(AO99="Intermittent (not daily)",1,2))),"")</f>
        <v/>
      </c>
      <c r="AQ99" s="13"/>
      <c r="AR99" s="14">
        <f t="shared" ref="AR99:AR130" si="96">IFERROR(IF(OR(AG99="Lower Extremity",AG99="Multiple Sites"),IF(AQ99="Y",1,0),0),"")</f>
        <v>0</v>
      </c>
      <c r="AS99" s="13"/>
      <c r="AT99" s="14">
        <f t="shared" ref="AT99:AT130" si="97">IFERROR(IF(AS99="Y",1,0),"")</f>
        <v>0</v>
      </c>
      <c r="AU99" s="14">
        <f t="shared" ref="AU99:AU130" si="98">IFERROR(SUM(AH99,AJ99,AL99,AN99,AP99,AR99,AT99),"")</f>
        <v>0</v>
      </c>
      <c r="AV99" s="13"/>
      <c r="AW99" s="14" t="str">
        <f t="shared" ref="AW99:AW130" si="99">IFERROR(IF(AV99="","",IF(AV99="No diabetes / HbA1c &lt;7.0%",0,IF(AV99="HbA1c 7.0-7.9%",1,2))),"")</f>
        <v/>
      </c>
      <c r="AX99" s="13"/>
      <c r="AY99" s="14" t="str">
        <f t="shared" ref="AY99:AY130" si="100">IFERROR(IF(AX99="","",IF(AX99="Never / Former (&gt;6mo abstinence)",0,2)),"")</f>
        <v/>
      </c>
      <c r="AZ99" s="13"/>
      <c r="BA99" s="14" t="str">
        <f t="shared" ref="BA99:BA130" si="101">IFERROR(IF(AZ99="","",IF(AZ99="None",0,IF(AZ99="One stable condition",1,2))),"")</f>
        <v/>
      </c>
      <c r="BB99" s="13"/>
      <c r="BC99" s="14">
        <f t="shared" ref="BC99:BC130" si="102">IFERROR(IF(BB99="Y",2,0),"")</f>
        <v>0</v>
      </c>
      <c r="BD99" s="14">
        <f t="shared" ref="BD99:BD130" si="103">IFERROR(SUM(AW99,AY99,BA99,BC99),"")</f>
        <v>0</v>
      </c>
      <c r="BE99" s="13"/>
      <c r="BF99" s="14" t="str">
        <f t="shared" ref="BF99:BF130" si="104">IFERROR(IF(BE99="","",IF(BE99="Ambulatory",0,IF(BE99="Wheelchair w/ cushions",1,IF(BE99="Bedbound w/ offloading mattress",2,3)))),"")</f>
        <v/>
      </c>
      <c r="BG99" s="13"/>
      <c r="BH99" s="14" t="str">
        <f t="shared" ref="BH99:BH130" si="105">IFERROR(IF(BG99="","",IF(BG99="Reliable 24/7 care",0,IF(BG99="Some support — inconsistent",2,0))),"")</f>
        <v/>
      </c>
      <c r="BI99" s="14">
        <f t="shared" ref="BI99:BI130" si="106">IFERROR(SUM(BF99,BH99),"")</f>
        <v>0</v>
      </c>
      <c r="BJ99" s="14">
        <f t="shared" ref="BJ99:BJ130" si="107">IFERROR(IF(COUNTA(AF99,AU99,BD99,BI99)=0,"",SUM(AF99,AU99,BD99,BI99)),"")</f>
        <v>0</v>
      </c>
      <c r="BK99" s="14" t="str">
        <f t="shared" ref="BK99:BK130" si="108">IFERROR(IF(BJ99="","",IF(BJ99&lt;6,"LOW RISK",IF(BJ99&lt;13,"MODERATE RISK",IF(BJ99&lt;20,"HIGH RISK","NOT AN IDEAL CANDIDATE")))),"")</f>
        <v>LOW RISK</v>
      </c>
      <c r="BL99" s="14" t="str">
        <f t="shared" ref="BL99:BL130" si="109">IFERROR(_xlfn.SINGLE(_xlfn.TEXTJOIN(", ", TRUE(), IF(V99 = "&lt;2.5 g/dL (Abs CI)", "Albumin CI", ""), IF(AB99 = "&gt;2.0 or Sepsis (Abs CI)", "PCT CI", ""), IF(BG99 = "No support (Functional CI)", "Functional CI", ""))), "")</f>
        <v/>
      </c>
      <c r="BM99" s="13"/>
      <c r="BN99" s="12"/>
      <c r="BO99" s="13"/>
      <c r="BP99" s="13"/>
      <c r="BQ99" s="13"/>
      <c r="BR99" s="13"/>
      <c r="BS99" s="13"/>
      <c r="BT99" s="13"/>
      <c r="BU99" s="14" t="str">
        <f t="shared" ref="BU99:BU130" si="110">IFERROR(IF(BT99="","",IF(BT99&lt;6,"LOW RISK",IF(BT99&lt;13,"MODERATE RISK",IF(BT99&lt;20,"HIGH RISK","NOT AN IDEAL CANDIDATE")))),"")</f>
        <v/>
      </c>
      <c r="BV99" s="13"/>
      <c r="BW99" s="13"/>
      <c r="BX99" s="13"/>
      <c r="BY99" s="13"/>
      <c r="BZ99" s="13"/>
      <c r="CA99" s="13"/>
      <c r="CB99" s="13"/>
      <c r="CC99" s="14" t="str">
        <f t="shared" ref="CC99:CC130" si="111">IFERROR(IF(COUNTA(BV99:CB99)=0,"",IF(COUNTIF(BV99:CB99,"Y")&gt;0,"YES — EVENT","NO event")),"")</f>
        <v/>
      </c>
      <c r="CD99" s="13"/>
      <c r="CE99" s="13"/>
      <c r="CF99" s="12"/>
      <c r="CG99" s="13"/>
      <c r="CH99" s="13"/>
      <c r="CI99" s="13"/>
      <c r="CJ99" s="13"/>
      <c r="CK99" s="13"/>
      <c r="CL99" s="12"/>
      <c r="CM99" s="13"/>
      <c r="CN99" s="13"/>
      <c r="CO99" s="13"/>
      <c r="CP99" s="12"/>
    </row>
    <row r="100" spans="1:94" x14ac:dyDescent="0.2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4" t="str">
        <f t="shared" si="84"/>
        <v>✓ Clear to Score</v>
      </c>
      <c r="U100" s="13"/>
      <c r="V100" s="13"/>
      <c r="W100" s="14" t="str">
        <f t="shared" si="85"/>
        <v/>
      </c>
      <c r="X100" s="13"/>
      <c r="Y100" s="14" t="str">
        <f t="shared" si="86"/>
        <v/>
      </c>
      <c r="Z100" s="13"/>
      <c r="AA100" s="14" t="str">
        <f t="shared" si="87"/>
        <v/>
      </c>
      <c r="AB100" s="13"/>
      <c r="AC100" s="14" t="str">
        <f t="shared" si="88"/>
        <v/>
      </c>
      <c r="AD100" s="13"/>
      <c r="AE100" s="14">
        <f t="shared" si="89"/>
        <v>0</v>
      </c>
      <c r="AF100" s="14">
        <f t="shared" si="90"/>
        <v>0</v>
      </c>
      <c r="AG100" s="13"/>
      <c r="AH100" s="14" t="str">
        <f t="shared" si="91"/>
        <v/>
      </c>
      <c r="AI100" s="13"/>
      <c r="AJ100" s="14" t="str">
        <f t="shared" si="92"/>
        <v/>
      </c>
      <c r="AK100" s="13"/>
      <c r="AL100" s="14" t="str">
        <f t="shared" si="93"/>
        <v/>
      </c>
      <c r="AM100" s="13"/>
      <c r="AN100" s="14" t="str">
        <f t="shared" si="94"/>
        <v/>
      </c>
      <c r="AO100" s="13"/>
      <c r="AP100" s="14" t="str">
        <f t="shared" si="95"/>
        <v/>
      </c>
      <c r="AQ100" s="13"/>
      <c r="AR100" s="14">
        <f t="shared" si="96"/>
        <v>0</v>
      </c>
      <c r="AS100" s="13"/>
      <c r="AT100" s="14">
        <f t="shared" si="97"/>
        <v>0</v>
      </c>
      <c r="AU100" s="14">
        <f t="shared" si="98"/>
        <v>0</v>
      </c>
      <c r="AV100" s="13"/>
      <c r="AW100" s="14" t="str">
        <f t="shared" si="99"/>
        <v/>
      </c>
      <c r="AX100" s="13"/>
      <c r="AY100" s="14" t="str">
        <f t="shared" si="100"/>
        <v/>
      </c>
      <c r="AZ100" s="13"/>
      <c r="BA100" s="14" t="str">
        <f t="shared" si="101"/>
        <v/>
      </c>
      <c r="BB100" s="13"/>
      <c r="BC100" s="14">
        <f t="shared" si="102"/>
        <v>0</v>
      </c>
      <c r="BD100" s="14">
        <f t="shared" si="103"/>
        <v>0</v>
      </c>
      <c r="BE100" s="13"/>
      <c r="BF100" s="14" t="str">
        <f t="shared" si="104"/>
        <v/>
      </c>
      <c r="BG100" s="13"/>
      <c r="BH100" s="14" t="str">
        <f t="shared" si="105"/>
        <v/>
      </c>
      <c r="BI100" s="14">
        <f t="shared" si="106"/>
        <v>0</v>
      </c>
      <c r="BJ100" s="14">
        <f t="shared" si="107"/>
        <v>0</v>
      </c>
      <c r="BK100" s="14" t="str">
        <f t="shared" si="108"/>
        <v>LOW RISK</v>
      </c>
      <c r="BL100" s="14" t="str">
        <f t="shared" si="109"/>
        <v/>
      </c>
      <c r="BM100" s="13"/>
      <c r="BN100" s="12"/>
      <c r="BO100" s="13"/>
      <c r="BP100" s="13"/>
      <c r="BQ100" s="13"/>
      <c r="BR100" s="13"/>
      <c r="BS100" s="13"/>
      <c r="BT100" s="13"/>
      <c r="BU100" s="14" t="str">
        <f t="shared" si="110"/>
        <v/>
      </c>
      <c r="BV100" s="13"/>
      <c r="BW100" s="13"/>
      <c r="BX100" s="13"/>
      <c r="BY100" s="13"/>
      <c r="BZ100" s="13"/>
      <c r="CA100" s="13"/>
      <c r="CB100" s="13"/>
      <c r="CC100" s="14" t="str">
        <f t="shared" si="111"/>
        <v/>
      </c>
      <c r="CD100" s="13"/>
      <c r="CE100" s="13"/>
      <c r="CF100" s="12"/>
      <c r="CG100" s="13"/>
      <c r="CH100" s="13"/>
      <c r="CI100" s="13"/>
      <c r="CJ100" s="13"/>
      <c r="CK100" s="13"/>
      <c r="CL100" s="12"/>
      <c r="CM100" s="13"/>
      <c r="CN100" s="13"/>
      <c r="CO100" s="13"/>
      <c r="CP100" s="12"/>
    </row>
    <row r="101" spans="1:94" x14ac:dyDescent="0.2">
      <c r="A101" s="12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4" t="str">
        <f t="shared" si="84"/>
        <v>✓ Clear to Score</v>
      </c>
      <c r="U101" s="13"/>
      <c r="V101" s="13"/>
      <c r="W101" s="14" t="str">
        <f t="shared" si="85"/>
        <v/>
      </c>
      <c r="X101" s="13"/>
      <c r="Y101" s="14" t="str">
        <f t="shared" si="86"/>
        <v/>
      </c>
      <c r="Z101" s="13"/>
      <c r="AA101" s="14" t="str">
        <f t="shared" si="87"/>
        <v/>
      </c>
      <c r="AB101" s="13"/>
      <c r="AC101" s="14" t="str">
        <f t="shared" si="88"/>
        <v/>
      </c>
      <c r="AD101" s="13"/>
      <c r="AE101" s="14">
        <f t="shared" si="89"/>
        <v>0</v>
      </c>
      <c r="AF101" s="14">
        <f t="shared" si="90"/>
        <v>0</v>
      </c>
      <c r="AG101" s="13"/>
      <c r="AH101" s="14" t="str">
        <f t="shared" si="91"/>
        <v/>
      </c>
      <c r="AI101" s="13"/>
      <c r="AJ101" s="14" t="str">
        <f t="shared" si="92"/>
        <v/>
      </c>
      <c r="AK101" s="13"/>
      <c r="AL101" s="14" t="str">
        <f t="shared" si="93"/>
        <v/>
      </c>
      <c r="AM101" s="13"/>
      <c r="AN101" s="14" t="str">
        <f t="shared" si="94"/>
        <v/>
      </c>
      <c r="AO101" s="13"/>
      <c r="AP101" s="14" t="str">
        <f t="shared" si="95"/>
        <v/>
      </c>
      <c r="AQ101" s="13"/>
      <c r="AR101" s="14">
        <f t="shared" si="96"/>
        <v>0</v>
      </c>
      <c r="AS101" s="13"/>
      <c r="AT101" s="14">
        <f t="shared" si="97"/>
        <v>0</v>
      </c>
      <c r="AU101" s="14">
        <f t="shared" si="98"/>
        <v>0</v>
      </c>
      <c r="AV101" s="13"/>
      <c r="AW101" s="14" t="str">
        <f t="shared" si="99"/>
        <v/>
      </c>
      <c r="AX101" s="13"/>
      <c r="AY101" s="14" t="str">
        <f t="shared" si="100"/>
        <v/>
      </c>
      <c r="AZ101" s="13"/>
      <c r="BA101" s="14" t="str">
        <f t="shared" si="101"/>
        <v/>
      </c>
      <c r="BB101" s="13"/>
      <c r="BC101" s="14">
        <f t="shared" si="102"/>
        <v>0</v>
      </c>
      <c r="BD101" s="14">
        <f t="shared" si="103"/>
        <v>0</v>
      </c>
      <c r="BE101" s="13"/>
      <c r="BF101" s="14" t="str">
        <f t="shared" si="104"/>
        <v/>
      </c>
      <c r="BG101" s="13"/>
      <c r="BH101" s="14" t="str">
        <f t="shared" si="105"/>
        <v/>
      </c>
      <c r="BI101" s="14">
        <f t="shared" si="106"/>
        <v>0</v>
      </c>
      <c r="BJ101" s="14">
        <f t="shared" si="107"/>
        <v>0</v>
      </c>
      <c r="BK101" s="14" t="str">
        <f t="shared" si="108"/>
        <v>LOW RISK</v>
      </c>
      <c r="BL101" s="14" t="str">
        <f t="shared" si="109"/>
        <v/>
      </c>
      <c r="BM101" s="13"/>
      <c r="BN101" s="12"/>
      <c r="BO101" s="13"/>
      <c r="BP101" s="13"/>
      <c r="BQ101" s="13"/>
      <c r="BR101" s="13"/>
      <c r="BS101" s="13"/>
      <c r="BT101" s="13"/>
      <c r="BU101" s="14" t="str">
        <f t="shared" si="110"/>
        <v/>
      </c>
      <c r="BV101" s="13"/>
      <c r="BW101" s="13"/>
      <c r="BX101" s="13"/>
      <c r="BY101" s="13"/>
      <c r="BZ101" s="13"/>
      <c r="CA101" s="13"/>
      <c r="CB101" s="13"/>
      <c r="CC101" s="14" t="str">
        <f t="shared" si="111"/>
        <v/>
      </c>
      <c r="CD101" s="13"/>
      <c r="CE101" s="13"/>
      <c r="CF101" s="12"/>
      <c r="CG101" s="13"/>
      <c r="CH101" s="13"/>
      <c r="CI101" s="13"/>
      <c r="CJ101" s="13"/>
      <c r="CK101" s="13"/>
      <c r="CL101" s="12"/>
      <c r="CM101" s="13"/>
      <c r="CN101" s="13"/>
      <c r="CO101" s="13"/>
      <c r="CP101" s="12"/>
    </row>
    <row r="102" spans="1:94" x14ac:dyDescent="0.2">
      <c r="A102" s="12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4" t="str">
        <f t="shared" si="84"/>
        <v>✓ Clear to Score</v>
      </c>
      <c r="U102" s="13"/>
      <c r="V102" s="13"/>
      <c r="W102" s="14" t="str">
        <f t="shared" si="85"/>
        <v/>
      </c>
      <c r="X102" s="13"/>
      <c r="Y102" s="14" t="str">
        <f t="shared" si="86"/>
        <v/>
      </c>
      <c r="Z102" s="13"/>
      <c r="AA102" s="14" t="str">
        <f t="shared" si="87"/>
        <v/>
      </c>
      <c r="AB102" s="13"/>
      <c r="AC102" s="14" t="str">
        <f t="shared" si="88"/>
        <v/>
      </c>
      <c r="AD102" s="13"/>
      <c r="AE102" s="14">
        <f t="shared" si="89"/>
        <v>0</v>
      </c>
      <c r="AF102" s="14">
        <f t="shared" si="90"/>
        <v>0</v>
      </c>
      <c r="AG102" s="13"/>
      <c r="AH102" s="14" t="str">
        <f t="shared" si="91"/>
        <v/>
      </c>
      <c r="AI102" s="13"/>
      <c r="AJ102" s="14" t="str">
        <f t="shared" si="92"/>
        <v/>
      </c>
      <c r="AK102" s="13"/>
      <c r="AL102" s="14" t="str">
        <f t="shared" si="93"/>
        <v/>
      </c>
      <c r="AM102" s="13"/>
      <c r="AN102" s="14" t="str">
        <f t="shared" si="94"/>
        <v/>
      </c>
      <c r="AO102" s="13"/>
      <c r="AP102" s="14" t="str">
        <f t="shared" si="95"/>
        <v/>
      </c>
      <c r="AQ102" s="13"/>
      <c r="AR102" s="14">
        <f t="shared" si="96"/>
        <v>0</v>
      </c>
      <c r="AS102" s="13"/>
      <c r="AT102" s="14">
        <f t="shared" si="97"/>
        <v>0</v>
      </c>
      <c r="AU102" s="14">
        <f t="shared" si="98"/>
        <v>0</v>
      </c>
      <c r="AV102" s="13"/>
      <c r="AW102" s="14" t="str">
        <f t="shared" si="99"/>
        <v/>
      </c>
      <c r="AX102" s="13"/>
      <c r="AY102" s="14" t="str">
        <f t="shared" si="100"/>
        <v/>
      </c>
      <c r="AZ102" s="13"/>
      <c r="BA102" s="14" t="str">
        <f t="shared" si="101"/>
        <v/>
      </c>
      <c r="BB102" s="13"/>
      <c r="BC102" s="14">
        <f t="shared" si="102"/>
        <v>0</v>
      </c>
      <c r="BD102" s="14">
        <f t="shared" si="103"/>
        <v>0</v>
      </c>
      <c r="BE102" s="13"/>
      <c r="BF102" s="14" t="str">
        <f t="shared" si="104"/>
        <v/>
      </c>
      <c r="BG102" s="13"/>
      <c r="BH102" s="14" t="str">
        <f t="shared" si="105"/>
        <v/>
      </c>
      <c r="BI102" s="14">
        <f t="shared" si="106"/>
        <v>0</v>
      </c>
      <c r="BJ102" s="14">
        <f t="shared" si="107"/>
        <v>0</v>
      </c>
      <c r="BK102" s="14" t="str">
        <f t="shared" si="108"/>
        <v>LOW RISK</v>
      </c>
      <c r="BL102" s="14" t="str">
        <f t="shared" si="109"/>
        <v/>
      </c>
      <c r="BM102" s="13"/>
      <c r="BN102" s="12"/>
      <c r="BO102" s="13"/>
      <c r="BP102" s="13"/>
      <c r="BQ102" s="13"/>
      <c r="BR102" s="13"/>
      <c r="BS102" s="13"/>
      <c r="BT102" s="13"/>
      <c r="BU102" s="14" t="str">
        <f t="shared" si="110"/>
        <v/>
      </c>
      <c r="BV102" s="13"/>
      <c r="BW102" s="13"/>
      <c r="BX102" s="13"/>
      <c r="BY102" s="13"/>
      <c r="BZ102" s="13"/>
      <c r="CA102" s="13"/>
      <c r="CB102" s="13"/>
      <c r="CC102" s="14" t="str">
        <f t="shared" si="111"/>
        <v/>
      </c>
      <c r="CD102" s="13"/>
      <c r="CE102" s="13"/>
      <c r="CF102" s="12"/>
      <c r="CG102" s="13"/>
      <c r="CH102" s="13"/>
      <c r="CI102" s="13"/>
      <c r="CJ102" s="13"/>
      <c r="CK102" s="13"/>
      <c r="CL102" s="12"/>
      <c r="CM102" s="13"/>
      <c r="CN102" s="13"/>
      <c r="CO102" s="13"/>
      <c r="CP102" s="12"/>
    </row>
    <row r="103" spans="1:94" x14ac:dyDescent="0.2">
      <c r="A103" s="12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4" t="str">
        <f t="shared" si="84"/>
        <v>✓ Clear to Score</v>
      </c>
      <c r="U103" s="13"/>
      <c r="V103" s="13"/>
      <c r="W103" s="14" t="str">
        <f t="shared" si="85"/>
        <v/>
      </c>
      <c r="X103" s="13"/>
      <c r="Y103" s="14" t="str">
        <f t="shared" si="86"/>
        <v/>
      </c>
      <c r="Z103" s="13"/>
      <c r="AA103" s="14" t="str">
        <f t="shared" si="87"/>
        <v/>
      </c>
      <c r="AB103" s="13"/>
      <c r="AC103" s="14" t="str">
        <f t="shared" si="88"/>
        <v/>
      </c>
      <c r="AD103" s="13"/>
      <c r="AE103" s="14">
        <f t="shared" si="89"/>
        <v>0</v>
      </c>
      <c r="AF103" s="14">
        <f t="shared" si="90"/>
        <v>0</v>
      </c>
      <c r="AG103" s="13"/>
      <c r="AH103" s="14" t="str">
        <f t="shared" si="91"/>
        <v/>
      </c>
      <c r="AI103" s="13"/>
      <c r="AJ103" s="14" t="str">
        <f t="shared" si="92"/>
        <v/>
      </c>
      <c r="AK103" s="13"/>
      <c r="AL103" s="14" t="str">
        <f t="shared" si="93"/>
        <v/>
      </c>
      <c r="AM103" s="13"/>
      <c r="AN103" s="14" t="str">
        <f t="shared" si="94"/>
        <v/>
      </c>
      <c r="AO103" s="13"/>
      <c r="AP103" s="14" t="str">
        <f t="shared" si="95"/>
        <v/>
      </c>
      <c r="AQ103" s="13"/>
      <c r="AR103" s="14">
        <f t="shared" si="96"/>
        <v>0</v>
      </c>
      <c r="AS103" s="13"/>
      <c r="AT103" s="14">
        <f t="shared" si="97"/>
        <v>0</v>
      </c>
      <c r="AU103" s="14">
        <f t="shared" si="98"/>
        <v>0</v>
      </c>
      <c r="AV103" s="13"/>
      <c r="AW103" s="14" t="str">
        <f t="shared" si="99"/>
        <v/>
      </c>
      <c r="AX103" s="13"/>
      <c r="AY103" s="14" t="str">
        <f t="shared" si="100"/>
        <v/>
      </c>
      <c r="AZ103" s="13"/>
      <c r="BA103" s="14" t="str">
        <f t="shared" si="101"/>
        <v/>
      </c>
      <c r="BB103" s="13"/>
      <c r="BC103" s="14">
        <f t="shared" si="102"/>
        <v>0</v>
      </c>
      <c r="BD103" s="14">
        <f t="shared" si="103"/>
        <v>0</v>
      </c>
      <c r="BE103" s="13"/>
      <c r="BF103" s="14" t="str">
        <f t="shared" si="104"/>
        <v/>
      </c>
      <c r="BG103" s="13"/>
      <c r="BH103" s="14" t="str">
        <f t="shared" si="105"/>
        <v/>
      </c>
      <c r="BI103" s="14">
        <f t="shared" si="106"/>
        <v>0</v>
      </c>
      <c r="BJ103" s="14">
        <f t="shared" si="107"/>
        <v>0</v>
      </c>
      <c r="BK103" s="14" t="str">
        <f t="shared" si="108"/>
        <v>LOW RISK</v>
      </c>
      <c r="BL103" s="14" t="str">
        <f t="shared" si="109"/>
        <v/>
      </c>
      <c r="BM103" s="13"/>
      <c r="BN103" s="12"/>
      <c r="BO103" s="13"/>
      <c r="BP103" s="13"/>
      <c r="BQ103" s="13"/>
      <c r="BR103" s="13"/>
      <c r="BS103" s="13"/>
      <c r="BT103" s="13"/>
      <c r="BU103" s="14" t="str">
        <f t="shared" si="110"/>
        <v/>
      </c>
      <c r="BV103" s="13"/>
      <c r="BW103" s="13"/>
      <c r="BX103" s="13"/>
      <c r="BY103" s="13"/>
      <c r="BZ103" s="13"/>
      <c r="CA103" s="13"/>
      <c r="CB103" s="13"/>
      <c r="CC103" s="14" t="str">
        <f t="shared" si="111"/>
        <v/>
      </c>
      <c r="CD103" s="13"/>
      <c r="CE103" s="13"/>
      <c r="CF103" s="12"/>
      <c r="CG103" s="13"/>
      <c r="CH103" s="13"/>
      <c r="CI103" s="13"/>
      <c r="CJ103" s="13"/>
      <c r="CK103" s="13"/>
      <c r="CL103" s="12"/>
      <c r="CM103" s="13"/>
      <c r="CN103" s="13"/>
      <c r="CO103" s="13"/>
      <c r="CP103" s="12"/>
    </row>
    <row r="104" spans="1:94" x14ac:dyDescent="0.2">
      <c r="A104" s="12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4" t="str">
        <f t="shared" si="84"/>
        <v>✓ Clear to Score</v>
      </c>
      <c r="U104" s="13"/>
      <c r="V104" s="13"/>
      <c r="W104" s="14" t="str">
        <f t="shared" si="85"/>
        <v/>
      </c>
      <c r="X104" s="13"/>
      <c r="Y104" s="14" t="str">
        <f t="shared" si="86"/>
        <v/>
      </c>
      <c r="Z104" s="13"/>
      <c r="AA104" s="14" t="str">
        <f t="shared" si="87"/>
        <v/>
      </c>
      <c r="AB104" s="13"/>
      <c r="AC104" s="14" t="str">
        <f t="shared" si="88"/>
        <v/>
      </c>
      <c r="AD104" s="13"/>
      <c r="AE104" s="14">
        <f t="shared" si="89"/>
        <v>0</v>
      </c>
      <c r="AF104" s="14">
        <f t="shared" si="90"/>
        <v>0</v>
      </c>
      <c r="AG104" s="13"/>
      <c r="AH104" s="14" t="str">
        <f t="shared" si="91"/>
        <v/>
      </c>
      <c r="AI104" s="13"/>
      <c r="AJ104" s="14" t="str">
        <f t="shared" si="92"/>
        <v/>
      </c>
      <c r="AK104" s="13"/>
      <c r="AL104" s="14" t="str">
        <f t="shared" si="93"/>
        <v/>
      </c>
      <c r="AM104" s="13"/>
      <c r="AN104" s="14" t="str">
        <f t="shared" si="94"/>
        <v/>
      </c>
      <c r="AO104" s="13"/>
      <c r="AP104" s="14" t="str">
        <f t="shared" si="95"/>
        <v/>
      </c>
      <c r="AQ104" s="13"/>
      <c r="AR104" s="14">
        <f t="shared" si="96"/>
        <v>0</v>
      </c>
      <c r="AS104" s="13"/>
      <c r="AT104" s="14">
        <f t="shared" si="97"/>
        <v>0</v>
      </c>
      <c r="AU104" s="14">
        <f t="shared" si="98"/>
        <v>0</v>
      </c>
      <c r="AV104" s="13"/>
      <c r="AW104" s="14" t="str">
        <f t="shared" si="99"/>
        <v/>
      </c>
      <c r="AX104" s="13"/>
      <c r="AY104" s="14" t="str">
        <f t="shared" si="100"/>
        <v/>
      </c>
      <c r="AZ104" s="13"/>
      <c r="BA104" s="14" t="str">
        <f t="shared" si="101"/>
        <v/>
      </c>
      <c r="BB104" s="13"/>
      <c r="BC104" s="14">
        <f t="shared" si="102"/>
        <v>0</v>
      </c>
      <c r="BD104" s="14">
        <f t="shared" si="103"/>
        <v>0</v>
      </c>
      <c r="BE104" s="13"/>
      <c r="BF104" s="14" t="str">
        <f t="shared" si="104"/>
        <v/>
      </c>
      <c r="BG104" s="13"/>
      <c r="BH104" s="14" t="str">
        <f t="shared" si="105"/>
        <v/>
      </c>
      <c r="BI104" s="14">
        <f t="shared" si="106"/>
        <v>0</v>
      </c>
      <c r="BJ104" s="14">
        <f t="shared" si="107"/>
        <v>0</v>
      </c>
      <c r="BK104" s="14" t="str">
        <f t="shared" si="108"/>
        <v>LOW RISK</v>
      </c>
      <c r="BL104" s="14" t="str">
        <f t="shared" si="109"/>
        <v/>
      </c>
      <c r="BM104" s="13"/>
      <c r="BN104" s="12"/>
      <c r="BO104" s="13"/>
      <c r="BP104" s="13"/>
      <c r="BQ104" s="13"/>
      <c r="BR104" s="13"/>
      <c r="BS104" s="13"/>
      <c r="BT104" s="13"/>
      <c r="BU104" s="14" t="str">
        <f t="shared" si="110"/>
        <v/>
      </c>
      <c r="BV104" s="13"/>
      <c r="BW104" s="13"/>
      <c r="BX104" s="13"/>
      <c r="BY104" s="13"/>
      <c r="BZ104" s="13"/>
      <c r="CA104" s="13"/>
      <c r="CB104" s="13"/>
      <c r="CC104" s="14" t="str">
        <f t="shared" si="111"/>
        <v/>
      </c>
      <c r="CD104" s="13"/>
      <c r="CE104" s="13"/>
      <c r="CF104" s="12"/>
      <c r="CG104" s="13"/>
      <c r="CH104" s="13"/>
      <c r="CI104" s="13"/>
      <c r="CJ104" s="13"/>
      <c r="CK104" s="13"/>
      <c r="CL104" s="12"/>
      <c r="CM104" s="13"/>
      <c r="CN104" s="13"/>
      <c r="CO104" s="13"/>
      <c r="CP104" s="12"/>
    </row>
    <row r="105" spans="1:94" x14ac:dyDescent="0.2">
      <c r="A105" s="12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4" t="str">
        <f t="shared" si="84"/>
        <v>✓ Clear to Score</v>
      </c>
      <c r="U105" s="13"/>
      <c r="V105" s="13"/>
      <c r="W105" s="14" t="str">
        <f t="shared" si="85"/>
        <v/>
      </c>
      <c r="X105" s="13"/>
      <c r="Y105" s="14" t="str">
        <f t="shared" si="86"/>
        <v/>
      </c>
      <c r="Z105" s="13"/>
      <c r="AA105" s="14" t="str">
        <f t="shared" si="87"/>
        <v/>
      </c>
      <c r="AB105" s="13"/>
      <c r="AC105" s="14" t="str">
        <f t="shared" si="88"/>
        <v/>
      </c>
      <c r="AD105" s="13"/>
      <c r="AE105" s="14">
        <f t="shared" si="89"/>
        <v>0</v>
      </c>
      <c r="AF105" s="14">
        <f t="shared" si="90"/>
        <v>0</v>
      </c>
      <c r="AG105" s="13"/>
      <c r="AH105" s="14" t="str">
        <f t="shared" si="91"/>
        <v/>
      </c>
      <c r="AI105" s="13"/>
      <c r="AJ105" s="14" t="str">
        <f t="shared" si="92"/>
        <v/>
      </c>
      <c r="AK105" s="13"/>
      <c r="AL105" s="14" t="str">
        <f t="shared" si="93"/>
        <v/>
      </c>
      <c r="AM105" s="13"/>
      <c r="AN105" s="14" t="str">
        <f t="shared" si="94"/>
        <v/>
      </c>
      <c r="AO105" s="13"/>
      <c r="AP105" s="14" t="str">
        <f t="shared" si="95"/>
        <v/>
      </c>
      <c r="AQ105" s="13"/>
      <c r="AR105" s="14">
        <f t="shared" si="96"/>
        <v>0</v>
      </c>
      <c r="AS105" s="13"/>
      <c r="AT105" s="14">
        <f t="shared" si="97"/>
        <v>0</v>
      </c>
      <c r="AU105" s="14">
        <f t="shared" si="98"/>
        <v>0</v>
      </c>
      <c r="AV105" s="13"/>
      <c r="AW105" s="14" t="str">
        <f t="shared" si="99"/>
        <v/>
      </c>
      <c r="AX105" s="13"/>
      <c r="AY105" s="14" t="str">
        <f t="shared" si="100"/>
        <v/>
      </c>
      <c r="AZ105" s="13"/>
      <c r="BA105" s="14" t="str">
        <f t="shared" si="101"/>
        <v/>
      </c>
      <c r="BB105" s="13"/>
      <c r="BC105" s="14">
        <f t="shared" si="102"/>
        <v>0</v>
      </c>
      <c r="BD105" s="14">
        <f t="shared" si="103"/>
        <v>0</v>
      </c>
      <c r="BE105" s="13"/>
      <c r="BF105" s="14" t="str">
        <f t="shared" si="104"/>
        <v/>
      </c>
      <c r="BG105" s="13"/>
      <c r="BH105" s="14" t="str">
        <f t="shared" si="105"/>
        <v/>
      </c>
      <c r="BI105" s="14">
        <f t="shared" si="106"/>
        <v>0</v>
      </c>
      <c r="BJ105" s="14">
        <f t="shared" si="107"/>
        <v>0</v>
      </c>
      <c r="BK105" s="14" t="str">
        <f t="shared" si="108"/>
        <v>LOW RISK</v>
      </c>
      <c r="BL105" s="14" t="str">
        <f t="shared" si="109"/>
        <v/>
      </c>
      <c r="BM105" s="13"/>
      <c r="BN105" s="12"/>
      <c r="BO105" s="13"/>
      <c r="BP105" s="13"/>
      <c r="BQ105" s="13"/>
      <c r="BR105" s="13"/>
      <c r="BS105" s="13"/>
      <c r="BT105" s="13"/>
      <c r="BU105" s="14" t="str">
        <f t="shared" si="110"/>
        <v/>
      </c>
      <c r="BV105" s="13"/>
      <c r="BW105" s="13"/>
      <c r="BX105" s="13"/>
      <c r="BY105" s="13"/>
      <c r="BZ105" s="13"/>
      <c r="CA105" s="13"/>
      <c r="CB105" s="13"/>
      <c r="CC105" s="14" t="str">
        <f t="shared" si="111"/>
        <v/>
      </c>
      <c r="CD105" s="13"/>
      <c r="CE105" s="13"/>
      <c r="CF105" s="12"/>
      <c r="CG105" s="13"/>
      <c r="CH105" s="13"/>
      <c r="CI105" s="13"/>
      <c r="CJ105" s="13"/>
      <c r="CK105" s="13"/>
      <c r="CL105" s="12"/>
      <c r="CM105" s="13"/>
      <c r="CN105" s="13"/>
      <c r="CO105" s="13"/>
      <c r="CP105" s="12"/>
    </row>
    <row r="106" spans="1:94" x14ac:dyDescent="0.2">
      <c r="A106" s="12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4" t="str">
        <f t="shared" si="84"/>
        <v>✓ Clear to Score</v>
      </c>
      <c r="U106" s="13"/>
      <c r="V106" s="13"/>
      <c r="W106" s="14" t="str">
        <f t="shared" si="85"/>
        <v/>
      </c>
      <c r="X106" s="13"/>
      <c r="Y106" s="14" t="str">
        <f t="shared" si="86"/>
        <v/>
      </c>
      <c r="Z106" s="13"/>
      <c r="AA106" s="14" t="str">
        <f t="shared" si="87"/>
        <v/>
      </c>
      <c r="AB106" s="13"/>
      <c r="AC106" s="14" t="str">
        <f t="shared" si="88"/>
        <v/>
      </c>
      <c r="AD106" s="13"/>
      <c r="AE106" s="14">
        <f t="shared" si="89"/>
        <v>0</v>
      </c>
      <c r="AF106" s="14">
        <f t="shared" si="90"/>
        <v>0</v>
      </c>
      <c r="AG106" s="13"/>
      <c r="AH106" s="14" t="str">
        <f t="shared" si="91"/>
        <v/>
      </c>
      <c r="AI106" s="13"/>
      <c r="AJ106" s="14" t="str">
        <f t="shared" si="92"/>
        <v/>
      </c>
      <c r="AK106" s="13"/>
      <c r="AL106" s="14" t="str">
        <f t="shared" si="93"/>
        <v/>
      </c>
      <c r="AM106" s="13"/>
      <c r="AN106" s="14" t="str">
        <f t="shared" si="94"/>
        <v/>
      </c>
      <c r="AO106" s="13"/>
      <c r="AP106" s="14" t="str">
        <f t="shared" si="95"/>
        <v/>
      </c>
      <c r="AQ106" s="13"/>
      <c r="AR106" s="14">
        <f t="shared" si="96"/>
        <v>0</v>
      </c>
      <c r="AS106" s="13"/>
      <c r="AT106" s="14">
        <f t="shared" si="97"/>
        <v>0</v>
      </c>
      <c r="AU106" s="14">
        <f t="shared" si="98"/>
        <v>0</v>
      </c>
      <c r="AV106" s="13"/>
      <c r="AW106" s="14" t="str">
        <f t="shared" si="99"/>
        <v/>
      </c>
      <c r="AX106" s="13"/>
      <c r="AY106" s="14" t="str">
        <f t="shared" si="100"/>
        <v/>
      </c>
      <c r="AZ106" s="13"/>
      <c r="BA106" s="14" t="str">
        <f t="shared" si="101"/>
        <v/>
      </c>
      <c r="BB106" s="13"/>
      <c r="BC106" s="14">
        <f t="shared" si="102"/>
        <v>0</v>
      </c>
      <c r="BD106" s="14">
        <f t="shared" si="103"/>
        <v>0</v>
      </c>
      <c r="BE106" s="13"/>
      <c r="BF106" s="14" t="str">
        <f t="shared" si="104"/>
        <v/>
      </c>
      <c r="BG106" s="13"/>
      <c r="BH106" s="14" t="str">
        <f t="shared" si="105"/>
        <v/>
      </c>
      <c r="BI106" s="14">
        <f t="shared" si="106"/>
        <v>0</v>
      </c>
      <c r="BJ106" s="14">
        <f t="shared" si="107"/>
        <v>0</v>
      </c>
      <c r="BK106" s="14" t="str">
        <f t="shared" si="108"/>
        <v>LOW RISK</v>
      </c>
      <c r="BL106" s="14" t="str">
        <f t="shared" si="109"/>
        <v/>
      </c>
      <c r="BM106" s="13"/>
      <c r="BN106" s="12"/>
      <c r="BO106" s="13"/>
      <c r="BP106" s="13"/>
      <c r="BQ106" s="13"/>
      <c r="BR106" s="13"/>
      <c r="BS106" s="13"/>
      <c r="BT106" s="13"/>
      <c r="BU106" s="14" t="str">
        <f t="shared" si="110"/>
        <v/>
      </c>
      <c r="BV106" s="13"/>
      <c r="BW106" s="13"/>
      <c r="BX106" s="13"/>
      <c r="BY106" s="13"/>
      <c r="BZ106" s="13"/>
      <c r="CA106" s="13"/>
      <c r="CB106" s="13"/>
      <c r="CC106" s="14" t="str">
        <f t="shared" si="111"/>
        <v/>
      </c>
      <c r="CD106" s="13"/>
      <c r="CE106" s="13"/>
      <c r="CF106" s="12"/>
      <c r="CG106" s="13"/>
      <c r="CH106" s="13"/>
      <c r="CI106" s="13"/>
      <c r="CJ106" s="13"/>
      <c r="CK106" s="13"/>
      <c r="CL106" s="12"/>
      <c r="CM106" s="13"/>
      <c r="CN106" s="13"/>
      <c r="CO106" s="13"/>
      <c r="CP106" s="12"/>
    </row>
    <row r="107" spans="1:94" x14ac:dyDescent="0.2">
      <c r="A107" s="12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4" t="str">
        <f t="shared" si="84"/>
        <v>✓ Clear to Score</v>
      </c>
      <c r="U107" s="13"/>
      <c r="V107" s="13"/>
      <c r="W107" s="14" t="str">
        <f t="shared" si="85"/>
        <v/>
      </c>
      <c r="X107" s="13"/>
      <c r="Y107" s="14" t="str">
        <f t="shared" si="86"/>
        <v/>
      </c>
      <c r="Z107" s="13"/>
      <c r="AA107" s="14" t="str">
        <f t="shared" si="87"/>
        <v/>
      </c>
      <c r="AB107" s="13"/>
      <c r="AC107" s="14" t="str">
        <f t="shared" si="88"/>
        <v/>
      </c>
      <c r="AD107" s="13"/>
      <c r="AE107" s="14">
        <f t="shared" si="89"/>
        <v>0</v>
      </c>
      <c r="AF107" s="14">
        <f t="shared" si="90"/>
        <v>0</v>
      </c>
      <c r="AG107" s="13"/>
      <c r="AH107" s="14" t="str">
        <f t="shared" si="91"/>
        <v/>
      </c>
      <c r="AI107" s="13"/>
      <c r="AJ107" s="14" t="str">
        <f t="shared" si="92"/>
        <v/>
      </c>
      <c r="AK107" s="13"/>
      <c r="AL107" s="14" t="str">
        <f t="shared" si="93"/>
        <v/>
      </c>
      <c r="AM107" s="13"/>
      <c r="AN107" s="14" t="str">
        <f t="shared" si="94"/>
        <v/>
      </c>
      <c r="AO107" s="13"/>
      <c r="AP107" s="14" t="str">
        <f t="shared" si="95"/>
        <v/>
      </c>
      <c r="AQ107" s="13"/>
      <c r="AR107" s="14">
        <f t="shared" si="96"/>
        <v>0</v>
      </c>
      <c r="AS107" s="13"/>
      <c r="AT107" s="14">
        <f t="shared" si="97"/>
        <v>0</v>
      </c>
      <c r="AU107" s="14">
        <f t="shared" si="98"/>
        <v>0</v>
      </c>
      <c r="AV107" s="13"/>
      <c r="AW107" s="14" t="str">
        <f t="shared" si="99"/>
        <v/>
      </c>
      <c r="AX107" s="13"/>
      <c r="AY107" s="14" t="str">
        <f t="shared" si="100"/>
        <v/>
      </c>
      <c r="AZ107" s="13"/>
      <c r="BA107" s="14" t="str">
        <f t="shared" si="101"/>
        <v/>
      </c>
      <c r="BB107" s="13"/>
      <c r="BC107" s="14">
        <f t="shared" si="102"/>
        <v>0</v>
      </c>
      <c r="BD107" s="14">
        <f t="shared" si="103"/>
        <v>0</v>
      </c>
      <c r="BE107" s="13"/>
      <c r="BF107" s="14" t="str">
        <f t="shared" si="104"/>
        <v/>
      </c>
      <c r="BG107" s="13"/>
      <c r="BH107" s="14" t="str">
        <f t="shared" si="105"/>
        <v/>
      </c>
      <c r="BI107" s="14">
        <f t="shared" si="106"/>
        <v>0</v>
      </c>
      <c r="BJ107" s="14">
        <f t="shared" si="107"/>
        <v>0</v>
      </c>
      <c r="BK107" s="14" t="str">
        <f t="shared" si="108"/>
        <v>LOW RISK</v>
      </c>
      <c r="BL107" s="14" t="str">
        <f t="shared" si="109"/>
        <v/>
      </c>
      <c r="BM107" s="13"/>
      <c r="BN107" s="12"/>
      <c r="BO107" s="13"/>
      <c r="BP107" s="13"/>
      <c r="BQ107" s="13"/>
      <c r="BR107" s="13"/>
      <c r="BS107" s="13"/>
      <c r="BT107" s="13"/>
      <c r="BU107" s="14" t="str">
        <f t="shared" si="110"/>
        <v/>
      </c>
      <c r="BV107" s="13"/>
      <c r="BW107" s="13"/>
      <c r="BX107" s="13"/>
      <c r="BY107" s="13"/>
      <c r="BZ107" s="13"/>
      <c r="CA107" s="13"/>
      <c r="CB107" s="13"/>
      <c r="CC107" s="14" t="str">
        <f t="shared" si="111"/>
        <v/>
      </c>
      <c r="CD107" s="13"/>
      <c r="CE107" s="13"/>
      <c r="CF107" s="12"/>
      <c r="CG107" s="13"/>
      <c r="CH107" s="13"/>
      <c r="CI107" s="13"/>
      <c r="CJ107" s="13"/>
      <c r="CK107" s="13"/>
      <c r="CL107" s="12"/>
      <c r="CM107" s="13"/>
      <c r="CN107" s="13"/>
      <c r="CO107" s="13"/>
      <c r="CP107" s="12"/>
    </row>
    <row r="108" spans="1:94" x14ac:dyDescent="0.2">
      <c r="A108" s="12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4" t="str">
        <f t="shared" si="84"/>
        <v>✓ Clear to Score</v>
      </c>
      <c r="U108" s="13"/>
      <c r="V108" s="13"/>
      <c r="W108" s="14" t="str">
        <f t="shared" si="85"/>
        <v/>
      </c>
      <c r="X108" s="13"/>
      <c r="Y108" s="14" t="str">
        <f t="shared" si="86"/>
        <v/>
      </c>
      <c r="Z108" s="13"/>
      <c r="AA108" s="14" t="str">
        <f t="shared" si="87"/>
        <v/>
      </c>
      <c r="AB108" s="13"/>
      <c r="AC108" s="14" t="str">
        <f t="shared" si="88"/>
        <v/>
      </c>
      <c r="AD108" s="13"/>
      <c r="AE108" s="14">
        <f t="shared" si="89"/>
        <v>0</v>
      </c>
      <c r="AF108" s="14">
        <f t="shared" si="90"/>
        <v>0</v>
      </c>
      <c r="AG108" s="13"/>
      <c r="AH108" s="14" t="str">
        <f t="shared" si="91"/>
        <v/>
      </c>
      <c r="AI108" s="13"/>
      <c r="AJ108" s="14" t="str">
        <f t="shared" si="92"/>
        <v/>
      </c>
      <c r="AK108" s="13"/>
      <c r="AL108" s="14" t="str">
        <f t="shared" si="93"/>
        <v/>
      </c>
      <c r="AM108" s="13"/>
      <c r="AN108" s="14" t="str">
        <f t="shared" si="94"/>
        <v/>
      </c>
      <c r="AO108" s="13"/>
      <c r="AP108" s="14" t="str">
        <f t="shared" si="95"/>
        <v/>
      </c>
      <c r="AQ108" s="13"/>
      <c r="AR108" s="14">
        <f t="shared" si="96"/>
        <v>0</v>
      </c>
      <c r="AS108" s="13"/>
      <c r="AT108" s="14">
        <f t="shared" si="97"/>
        <v>0</v>
      </c>
      <c r="AU108" s="14">
        <f t="shared" si="98"/>
        <v>0</v>
      </c>
      <c r="AV108" s="13"/>
      <c r="AW108" s="14" t="str">
        <f t="shared" si="99"/>
        <v/>
      </c>
      <c r="AX108" s="13"/>
      <c r="AY108" s="14" t="str">
        <f t="shared" si="100"/>
        <v/>
      </c>
      <c r="AZ108" s="13"/>
      <c r="BA108" s="14" t="str">
        <f t="shared" si="101"/>
        <v/>
      </c>
      <c r="BB108" s="13"/>
      <c r="BC108" s="14">
        <f t="shared" si="102"/>
        <v>0</v>
      </c>
      <c r="BD108" s="14">
        <f t="shared" si="103"/>
        <v>0</v>
      </c>
      <c r="BE108" s="13"/>
      <c r="BF108" s="14" t="str">
        <f t="shared" si="104"/>
        <v/>
      </c>
      <c r="BG108" s="13"/>
      <c r="BH108" s="14" t="str">
        <f t="shared" si="105"/>
        <v/>
      </c>
      <c r="BI108" s="14">
        <f t="shared" si="106"/>
        <v>0</v>
      </c>
      <c r="BJ108" s="14">
        <f t="shared" si="107"/>
        <v>0</v>
      </c>
      <c r="BK108" s="14" t="str">
        <f t="shared" si="108"/>
        <v>LOW RISK</v>
      </c>
      <c r="BL108" s="14" t="str">
        <f t="shared" si="109"/>
        <v/>
      </c>
      <c r="BM108" s="13"/>
      <c r="BN108" s="12"/>
      <c r="BO108" s="13"/>
      <c r="BP108" s="13"/>
      <c r="BQ108" s="13"/>
      <c r="BR108" s="13"/>
      <c r="BS108" s="13"/>
      <c r="BT108" s="13"/>
      <c r="BU108" s="14" t="str">
        <f t="shared" si="110"/>
        <v/>
      </c>
      <c r="BV108" s="13"/>
      <c r="BW108" s="13"/>
      <c r="BX108" s="13"/>
      <c r="BY108" s="13"/>
      <c r="BZ108" s="13"/>
      <c r="CA108" s="13"/>
      <c r="CB108" s="13"/>
      <c r="CC108" s="14" t="str">
        <f t="shared" si="111"/>
        <v/>
      </c>
      <c r="CD108" s="13"/>
      <c r="CE108" s="13"/>
      <c r="CF108" s="12"/>
      <c r="CG108" s="13"/>
      <c r="CH108" s="13"/>
      <c r="CI108" s="13"/>
      <c r="CJ108" s="13"/>
      <c r="CK108" s="13"/>
      <c r="CL108" s="12"/>
      <c r="CM108" s="13"/>
      <c r="CN108" s="13"/>
      <c r="CO108" s="13"/>
      <c r="CP108" s="12"/>
    </row>
    <row r="109" spans="1:94" x14ac:dyDescent="0.2">
      <c r="A109" s="12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4" t="str">
        <f t="shared" si="84"/>
        <v>✓ Clear to Score</v>
      </c>
      <c r="U109" s="13"/>
      <c r="V109" s="13"/>
      <c r="W109" s="14" t="str">
        <f t="shared" si="85"/>
        <v/>
      </c>
      <c r="X109" s="13"/>
      <c r="Y109" s="14" t="str">
        <f t="shared" si="86"/>
        <v/>
      </c>
      <c r="Z109" s="13"/>
      <c r="AA109" s="14" t="str">
        <f t="shared" si="87"/>
        <v/>
      </c>
      <c r="AB109" s="13"/>
      <c r="AC109" s="14" t="str">
        <f t="shared" si="88"/>
        <v/>
      </c>
      <c r="AD109" s="13"/>
      <c r="AE109" s="14">
        <f t="shared" si="89"/>
        <v>0</v>
      </c>
      <c r="AF109" s="14">
        <f t="shared" si="90"/>
        <v>0</v>
      </c>
      <c r="AG109" s="13"/>
      <c r="AH109" s="14" t="str">
        <f t="shared" si="91"/>
        <v/>
      </c>
      <c r="AI109" s="13"/>
      <c r="AJ109" s="14" t="str">
        <f t="shared" si="92"/>
        <v/>
      </c>
      <c r="AK109" s="13"/>
      <c r="AL109" s="14" t="str">
        <f t="shared" si="93"/>
        <v/>
      </c>
      <c r="AM109" s="13"/>
      <c r="AN109" s="14" t="str">
        <f t="shared" si="94"/>
        <v/>
      </c>
      <c r="AO109" s="13"/>
      <c r="AP109" s="14" t="str">
        <f t="shared" si="95"/>
        <v/>
      </c>
      <c r="AQ109" s="13"/>
      <c r="AR109" s="14">
        <f t="shared" si="96"/>
        <v>0</v>
      </c>
      <c r="AS109" s="13"/>
      <c r="AT109" s="14">
        <f t="shared" si="97"/>
        <v>0</v>
      </c>
      <c r="AU109" s="14">
        <f t="shared" si="98"/>
        <v>0</v>
      </c>
      <c r="AV109" s="13"/>
      <c r="AW109" s="14" t="str">
        <f t="shared" si="99"/>
        <v/>
      </c>
      <c r="AX109" s="13"/>
      <c r="AY109" s="14" t="str">
        <f t="shared" si="100"/>
        <v/>
      </c>
      <c r="AZ109" s="13"/>
      <c r="BA109" s="14" t="str">
        <f t="shared" si="101"/>
        <v/>
      </c>
      <c r="BB109" s="13"/>
      <c r="BC109" s="14">
        <f t="shared" si="102"/>
        <v>0</v>
      </c>
      <c r="BD109" s="14">
        <f t="shared" si="103"/>
        <v>0</v>
      </c>
      <c r="BE109" s="13"/>
      <c r="BF109" s="14" t="str">
        <f t="shared" si="104"/>
        <v/>
      </c>
      <c r="BG109" s="13"/>
      <c r="BH109" s="14" t="str">
        <f t="shared" si="105"/>
        <v/>
      </c>
      <c r="BI109" s="14">
        <f t="shared" si="106"/>
        <v>0</v>
      </c>
      <c r="BJ109" s="14">
        <f t="shared" si="107"/>
        <v>0</v>
      </c>
      <c r="BK109" s="14" t="str">
        <f t="shared" si="108"/>
        <v>LOW RISK</v>
      </c>
      <c r="BL109" s="14" t="str">
        <f t="shared" si="109"/>
        <v/>
      </c>
      <c r="BM109" s="13"/>
      <c r="BN109" s="12"/>
      <c r="BO109" s="13"/>
      <c r="BP109" s="13"/>
      <c r="BQ109" s="13"/>
      <c r="BR109" s="13"/>
      <c r="BS109" s="13"/>
      <c r="BT109" s="13"/>
      <c r="BU109" s="14" t="str">
        <f t="shared" si="110"/>
        <v/>
      </c>
      <c r="BV109" s="13"/>
      <c r="BW109" s="13"/>
      <c r="BX109" s="13"/>
      <c r="BY109" s="13"/>
      <c r="BZ109" s="13"/>
      <c r="CA109" s="13"/>
      <c r="CB109" s="13"/>
      <c r="CC109" s="14" t="str">
        <f t="shared" si="111"/>
        <v/>
      </c>
      <c r="CD109" s="13"/>
      <c r="CE109" s="13"/>
      <c r="CF109" s="12"/>
      <c r="CG109" s="13"/>
      <c r="CH109" s="13"/>
      <c r="CI109" s="13"/>
      <c r="CJ109" s="13"/>
      <c r="CK109" s="13"/>
      <c r="CL109" s="12"/>
      <c r="CM109" s="13"/>
      <c r="CN109" s="13"/>
      <c r="CO109" s="13"/>
      <c r="CP109" s="12"/>
    </row>
    <row r="110" spans="1:94" x14ac:dyDescent="0.2">
      <c r="A110" s="12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4" t="str">
        <f t="shared" si="84"/>
        <v>✓ Clear to Score</v>
      </c>
      <c r="U110" s="13"/>
      <c r="V110" s="13"/>
      <c r="W110" s="14" t="str">
        <f t="shared" si="85"/>
        <v/>
      </c>
      <c r="X110" s="13"/>
      <c r="Y110" s="14" t="str">
        <f t="shared" si="86"/>
        <v/>
      </c>
      <c r="Z110" s="13"/>
      <c r="AA110" s="14" t="str">
        <f t="shared" si="87"/>
        <v/>
      </c>
      <c r="AB110" s="13"/>
      <c r="AC110" s="14" t="str">
        <f t="shared" si="88"/>
        <v/>
      </c>
      <c r="AD110" s="13"/>
      <c r="AE110" s="14">
        <f t="shared" si="89"/>
        <v>0</v>
      </c>
      <c r="AF110" s="14">
        <f t="shared" si="90"/>
        <v>0</v>
      </c>
      <c r="AG110" s="13"/>
      <c r="AH110" s="14" t="str">
        <f t="shared" si="91"/>
        <v/>
      </c>
      <c r="AI110" s="13"/>
      <c r="AJ110" s="14" t="str">
        <f t="shared" si="92"/>
        <v/>
      </c>
      <c r="AK110" s="13"/>
      <c r="AL110" s="14" t="str">
        <f t="shared" si="93"/>
        <v/>
      </c>
      <c r="AM110" s="13"/>
      <c r="AN110" s="14" t="str">
        <f t="shared" si="94"/>
        <v/>
      </c>
      <c r="AO110" s="13"/>
      <c r="AP110" s="14" t="str">
        <f t="shared" si="95"/>
        <v/>
      </c>
      <c r="AQ110" s="13"/>
      <c r="AR110" s="14">
        <f t="shared" si="96"/>
        <v>0</v>
      </c>
      <c r="AS110" s="13"/>
      <c r="AT110" s="14">
        <f t="shared" si="97"/>
        <v>0</v>
      </c>
      <c r="AU110" s="14">
        <f t="shared" si="98"/>
        <v>0</v>
      </c>
      <c r="AV110" s="13"/>
      <c r="AW110" s="14" t="str">
        <f t="shared" si="99"/>
        <v/>
      </c>
      <c r="AX110" s="13"/>
      <c r="AY110" s="14" t="str">
        <f t="shared" si="100"/>
        <v/>
      </c>
      <c r="AZ110" s="13"/>
      <c r="BA110" s="14" t="str">
        <f t="shared" si="101"/>
        <v/>
      </c>
      <c r="BB110" s="13"/>
      <c r="BC110" s="14">
        <f t="shared" si="102"/>
        <v>0</v>
      </c>
      <c r="BD110" s="14">
        <f t="shared" si="103"/>
        <v>0</v>
      </c>
      <c r="BE110" s="13"/>
      <c r="BF110" s="14" t="str">
        <f t="shared" si="104"/>
        <v/>
      </c>
      <c r="BG110" s="13"/>
      <c r="BH110" s="14" t="str">
        <f t="shared" si="105"/>
        <v/>
      </c>
      <c r="BI110" s="14">
        <f t="shared" si="106"/>
        <v>0</v>
      </c>
      <c r="BJ110" s="14">
        <f t="shared" si="107"/>
        <v>0</v>
      </c>
      <c r="BK110" s="14" t="str">
        <f t="shared" si="108"/>
        <v>LOW RISK</v>
      </c>
      <c r="BL110" s="14" t="str">
        <f t="shared" si="109"/>
        <v/>
      </c>
      <c r="BM110" s="13"/>
      <c r="BN110" s="12"/>
      <c r="BO110" s="13"/>
      <c r="BP110" s="13"/>
      <c r="BQ110" s="13"/>
      <c r="BR110" s="13"/>
      <c r="BS110" s="13"/>
      <c r="BT110" s="13"/>
      <c r="BU110" s="14" t="str">
        <f t="shared" si="110"/>
        <v/>
      </c>
      <c r="BV110" s="13"/>
      <c r="BW110" s="13"/>
      <c r="BX110" s="13"/>
      <c r="BY110" s="13"/>
      <c r="BZ110" s="13"/>
      <c r="CA110" s="13"/>
      <c r="CB110" s="13"/>
      <c r="CC110" s="14" t="str">
        <f t="shared" si="111"/>
        <v/>
      </c>
      <c r="CD110" s="13"/>
      <c r="CE110" s="13"/>
      <c r="CF110" s="12"/>
      <c r="CG110" s="13"/>
      <c r="CH110" s="13"/>
      <c r="CI110" s="13"/>
      <c r="CJ110" s="13"/>
      <c r="CK110" s="13"/>
      <c r="CL110" s="12"/>
      <c r="CM110" s="13"/>
      <c r="CN110" s="13"/>
      <c r="CO110" s="13"/>
      <c r="CP110" s="12"/>
    </row>
    <row r="111" spans="1:94" x14ac:dyDescent="0.2">
      <c r="A111" s="12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4" t="str">
        <f t="shared" si="84"/>
        <v>✓ Clear to Score</v>
      </c>
      <c r="U111" s="13"/>
      <c r="V111" s="13"/>
      <c r="W111" s="14" t="str">
        <f t="shared" si="85"/>
        <v/>
      </c>
      <c r="X111" s="13"/>
      <c r="Y111" s="14" t="str">
        <f t="shared" si="86"/>
        <v/>
      </c>
      <c r="Z111" s="13"/>
      <c r="AA111" s="14" t="str">
        <f t="shared" si="87"/>
        <v/>
      </c>
      <c r="AB111" s="13"/>
      <c r="AC111" s="14" t="str">
        <f t="shared" si="88"/>
        <v/>
      </c>
      <c r="AD111" s="13"/>
      <c r="AE111" s="14">
        <f t="shared" si="89"/>
        <v>0</v>
      </c>
      <c r="AF111" s="14">
        <f t="shared" si="90"/>
        <v>0</v>
      </c>
      <c r="AG111" s="13"/>
      <c r="AH111" s="14" t="str">
        <f t="shared" si="91"/>
        <v/>
      </c>
      <c r="AI111" s="13"/>
      <c r="AJ111" s="14" t="str">
        <f t="shared" si="92"/>
        <v/>
      </c>
      <c r="AK111" s="13"/>
      <c r="AL111" s="14" t="str">
        <f t="shared" si="93"/>
        <v/>
      </c>
      <c r="AM111" s="13"/>
      <c r="AN111" s="14" t="str">
        <f t="shared" si="94"/>
        <v/>
      </c>
      <c r="AO111" s="13"/>
      <c r="AP111" s="14" t="str">
        <f t="shared" si="95"/>
        <v/>
      </c>
      <c r="AQ111" s="13"/>
      <c r="AR111" s="14">
        <f t="shared" si="96"/>
        <v>0</v>
      </c>
      <c r="AS111" s="13"/>
      <c r="AT111" s="14">
        <f t="shared" si="97"/>
        <v>0</v>
      </c>
      <c r="AU111" s="14">
        <f t="shared" si="98"/>
        <v>0</v>
      </c>
      <c r="AV111" s="13"/>
      <c r="AW111" s="14" t="str">
        <f t="shared" si="99"/>
        <v/>
      </c>
      <c r="AX111" s="13"/>
      <c r="AY111" s="14" t="str">
        <f t="shared" si="100"/>
        <v/>
      </c>
      <c r="AZ111" s="13"/>
      <c r="BA111" s="14" t="str">
        <f t="shared" si="101"/>
        <v/>
      </c>
      <c r="BB111" s="13"/>
      <c r="BC111" s="14">
        <f t="shared" si="102"/>
        <v>0</v>
      </c>
      <c r="BD111" s="14">
        <f t="shared" si="103"/>
        <v>0</v>
      </c>
      <c r="BE111" s="13"/>
      <c r="BF111" s="14" t="str">
        <f t="shared" si="104"/>
        <v/>
      </c>
      <c r="BG111" s="13"/>
      <c r="BH111" s="14" t="str">
        <f t="shared" si="105"/>
        <v/>
      </c>
      <c r="BI111" s="14">
        <f t="shared" si="106"/>
        <v>0</v>
      </c>
      <c r="BJ111" s="14">
        <f t="shared" si="107"/>
        <v>0</v>
      </c>
      <c r="BK111" s="14" t="str">
        <f t="shared" si="108"/>
        <v>LOW RISK</v>
      </c>
      <c r="BL111" s="14" t="str">
        <f t="shared" si="109"/>
        <v/>
      </c>
      <c r="BM111" s="13"/>
      <c r="BN111" s="12"/>
      <c r="BO111" s="13"/>
      <c r="BP111" s="13"/>
      <c r="BQ111" s="13"/>
      <c r="BR111" s="13"/>
      <c r="BS111" s="13"/>
      <c r="BT111" s="13"/>
      <c r="BU111" s="14" t="str">
        <f t="shared" si="110"/>
        <v/>
      </c>
      <c r="BV111" s="13"/>
      <c r="BW111" s="13"/>
      <c r="BX111" s="13"/>
      <c r="BY111" s="13"/>
      <c r="BZ111" s="13"/>
      <c r="CA111" s="13"/>
      <c r="CB111" s="13"/>
      <c r="CC111" s="14" t="str">
        <f t="shared" si="111"/>
        <v/>
      </c>
      <c r="CD111" s="13"/>
      <c r="CE111" s="13"/>
      <c r="CF111" s="12"/>
      <c r="CG111" s="13"/>
      <c r="CH111" s="13"/>
      <c r="CI111" s="13"/>
      <c r="CJ111" s="13"/>
      <c r="CK111" s="13"/>
      <c r="CL111" s="12"/>
      <c r="CM111" s="13"/>
      <c r="CN111" s="13"/>
      <c r="CO111" s="13"/>
      <c r="CP111" s="12"/>
    </row>
    <row r="112" spans="1:94" x14ac:dyDescent="0.2">
      <c r="A112" s="12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4" t="str">
        <f t="shared" si="84"/>
        <v>✓ Clear to Score</v>
      </c>
      <c r="U112" s="13"/>
      <c r="V112" s="13"/>
      <c r="W112" s="14" t="str">
        <f t="shared" si="85"/>
        <v/>
      </c>
      <c r="X112" s="13"/>
      <c r="Y112" s="14" t="str">
        <f t="shared" si="86"/>
        <v/>
      </c>
      <c r="Z112" s="13"/>
      <c r="AA112" s="14" t="str">
        <f t="shared" si="87"/>
        <v/>
      </c>
      <c r="AB112" s="13"/>
      <c r="AC112" s="14" t="str">
        <f t="shared" si="88"/>
        <v/>
      </c>
      <c r="AD112" s="13"/>
      <c r="AE112" s="14">
        <f t="shared" si="89"/>
        <v>0</v>
      </c>
      <c r="AF112" s="14">
        <f t="shared" si="90"/>
        <v>0</v>
      </c>
      <c r="AG112" s="13"/>
      <c r="AH112" s="14" t="str">
        <f t="shared" si="91"/>
        <v/>
      </c>
      <c r="AI112" s="13"/>
      <c r="AJ112" s="14" t="str">
        <f t="shared" si="92"/>
        <v/>
      </c>
      <c r="AK112" s="13"/>
      <c r="AL112" s="14" t="str">
        <f t="shared" si="93"/>
        <v/>
      </c>
      <c r="AM112" s="13"/>
      <c r="AN112" s="14" t="str">
        <f t="shared" si="94"/>
        <v/>
      </c>
      <c r="AO112" s="13"/>
      <c r="AP112" s="14" t="str">
        <f t="shared" si="95"/>
        <v/>
      </c>
      <c r="AQ112" s="13"/>
      <c r="AR112" s="14">
        <f t="shared" si="96"/>
        <v>0</v>
      </c>
      <c r="AS112" s="13"/>
      <c r="AT112" s="14">
        <f t="shared" si="97"/>
        <v>0</v>
      </c>
      <c r="AU112" s="14">
        <f t="shared" si="98"/>
        <v>0</v>
      </c>
      <c r="AV112" s="13"/>
      <c r="AW112" s="14" t="str">
        <f t="shared" si="99"/>
        <v/>
      </c>
      <c r="AX112" s="13"/>
      <c r="AY112" s="14" t="str">
        <f t="shared" si="100"/>
        <v/>
      </c>
      <c r="AZ112" s="13"/>
      <c r="BA112" s="14" t="str">
        <f t="shared" si="101"/>
        <v/>
      </c>
      <c r="BB112" s="13"/>
      <c r="BC112" s="14">
        <f t="shared" si="102"/>
        <v>0</v>
      </c>
      <c r="BD112" s="14">
        <f t="shared" si="103"/>
        <v>0</v>
      </c>
      <c r="BE112" s="13"/>
      <c r="BF112" s="14" t="str">
        <f t="shared" si="104"/>
        <v/>
      </c>
      <c r="BG112" s="13"/>
      <c r="BH112" s="14" t="str">
        <f t="shared" si="105"/>
        <v/>
      </c>
      <c r="BI112" s="14">
        <f t="shared" si="106"/>
        <v>0</v>
      </c>
      <c r="BJ112" s="14">
        <f t="shared" si="107"/>
        <v>0</v>
      </c>
      <c r="BK112" s="14" t="str">
        <f t="shared" si="108"/>
        <v>LOW RISK</v>
      </c>
      <c r="BL112" s="14" t="str">
        <f t="shared" si="109"/>
        <v/>
      </c>
      <c r="BM112" s="13"/>
      <c r="BN112" s="12"/>
      <c r="BO112" s="13"/>
      <c r="BP112" s="13"/>
      <c r="BQ112" s="13"/>
      <c r="BR112" s="13"/>
      <c r="BS112" s="13"/>
      <c r="BT112" s="13"/>
      <c r="BU112" s="14" t="str">
        <f t="shared" si="110"/>
        <v/>
      </c>
      <c r="BV112" s="13"/>
      <c r="BW112" s="13"/>
      <c r="BX112" s="13"/>
      <c r="BY112" s="13"/>
      <c r="BZ112" s="13"/>
      <c r="CA112" s="13"/>
      <c r="CB112" s="13"/>
      <c r="CC112" s="14" t="str">
        <f t="shared" si="111"/>
        <v/>
      </c>
      <c r="CD112" s="13"/>
      <c r="CE112" s="13"/>
      <c r="CF112" s="12"/>
      <c r="CG112" s="13"/>
      <c r="CH112" s="13"/>
      <c r="CI112" s="13"/>
      <c r="CJ112" s="13"/>
      <c r="CK112" s="13"/>
      <c r="CL112" s="12"/>
      <c r="CM112" s="13"/>
      <c r="CN112" s="13"/>
      <c r="CO112" s="13"/>
      <c r="CP112" s="12"/>
    </row>
    <row r="113" spans="1:94" x14ac:dyDescent="0.2">
      <c r="A113" s="12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4" t="str">
        <f t="shared" si="84"/>
        <v>✓ Clear to Score</v>
      </c>
      <c r="U113" s="13"/>
      <c r="V113" s="13"/>
      <c r="W113" s="14" t="str">
        <f t="shared" si="85"/>
        <v/>
      </c>
      <c r="X113" s="13"/>
      <c r="Y113" s="14" t="str">
        <f t="shared" si="86"/>
        <v/>
      </c>
      <c r="Z113" s="13"/>
      <c r="AA113" s="14" t="str">
        <f t="shared" si="87"/>
        <v/>
      </c>
      <c r="AB113" s="13"/>
      <c r="AC113" s="14" t="str">
        <f t="shared" si="88"/>
        <v/>
      </c>
      <c r="AD113" s="13"/>
      <c r="AE113" s="14">
        <f t="shared" si="89"/>
        <v>0</v>
      </c>
      <c r="AF113" s="14">
        <f t="shared" si="90"/>
        <v>0</v>
      </c>
      <c r="AG113" s="13"/>
      <c r="AH113" s="14" t="str">
        <f t="shared" si="91"/>
        <v/>
      </c>
      <c r="AI113" s="13"/>
      <c r="AJ113" s="14" t="str">
        <f t="shared" si="92"/>
        <v/>
      </c>
      <c r="AK113" s="13"/>
      <c r="AL113" s="14" t="str">
        <f t="shared" si="93"/>
        <v/>
      </c>
      <c r="AM113" s="13"/>
      <c r="AN113" s="14" t="str">
        <f t="shared" si="94"/>
        <v/>
      </c>
      <c r="AO113" s="13"/>
      <c r="AP113" s="14" t="str">
        <f t="shared" si="95"/>
        <v/>
      </c>
      <c r="AQ113" s="13"/>
      <c r="AR113" s="14">
        <f t="shared" si="96"/>
        <v>0</v>
      </c>
      <c r="AS113" s="13"/>
      <c r="AT113" s="14">
        <f t="shared" si="97"/>
        <v>0</v>
      </c>
      <c r="AU113" s="14">
        <f t="shared" si="98"/>
        <v>0</v>
      </c>
      <c r="AV113" s="13"/>
      <c r="AW113" s="14" t="str">
        <f t="shared" si="99"/>
        <v/>
      </c>
      <c r="AX113" s="13"/>
      <c r="AY113" s="14" t="str">
        <f t="shared" si="100"/>
        <v/>
      </c>
      <c r="AZ113" s="13"/>
      <c r="BA113" s="14" t="str">
        <f t="shared" si="101"/>
        <v/>
      </c>
      <c r="BB113" s="13"/>
      <c r="BC113" s="14">
        <f t="shared" si="102"/>
        <v>0</v>
      </c>
      <c r="BD113" s="14">
        <f t="shared" si="103"/>
        <v>0</v>
      </c>
      <c r="BE113" s="13"/>
      <c r="BF113" s="14" t="str">
        <f t="shared" si="104"/>
        <v/>
      </c>
      <c r="BG113" s="13"/>
      <c r="BH113" s="14" t="str">
        <f t="shared" si="105"/>
        <v/>
      </c>
      <c r="BI113" s="14">
        <f t="shared" si="106"/>
        <v>0</v>
      </c>
      <c r="BJ113" s="14">
        <f t="shared" si="107"/>
        <v>0</v>
      </c>
      <c r="BK113" s="14" t="str">
        <f t="shared" si="108"/>
        <v>LOW RISK</v>
      </c>
      <c r="BL113" s="14" t="str">
        <f t="shared" si="109"/>
        <v/>
      </c>
      <c r="BM113" s="13"/>
      <c r="BN113" s="12"/>
      <c r="BO113" s="13"/>
      <c r="BP113" s="13"/>
      <c r="BQ113" s="13"/>
      <c r="BR113" s="13"/>
      <c r="BS113" s="13"/>
      <c r="BT113" s="13"/>
      <c r="BU113" s="14" t="str">
        <f t="shared" si="110"/>
        <v/>
      </c>
      <c r="BV113" s="13"/>
      <c r="BW113" s="13"/>
      <c r="BX113" s="13"/>
      <c r="BY113" s="13"/>
      <c r="BZ113" s="13"/>
      <c r="CA113" s="13"/>
      <c r="CB113" s="13"/>
      <c r="CC113" s="14" t="str">
        <f t="shared" si="111"/>
        <v/>
      </c>
      <c r="CD113" s="13"/>
      <c r="CE113" s="13"/>
      <c r="CF113" s="12"/>
      <c r="CG113" s="13"/>
      <c r="CH113" s="13"/>
      <c r="CI113" s="13"/>
      <c r="CJ113" s="13"/>
      <c r="CK113" s="13"/>
      <c r="CL113" s="12"/>
      <c r="CM113" s="13"/>
      <c r="CN113" s="13"/>
      <c r="CO113" s="13"/>
      <c r="CP113" s="12"/>
    </row>
    <row r="114" spans="1:94" x14ac:dyDescent="0.2">
      <c r="A114" s="12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4" t="str">
        <f t="shared" si="84"/>
        <v>✓ Clear to Score</v>
      </c>
      <c r="U114" s="13"/>
      <c r="V114" s="13"/>
      <c r="W114" s="14" t="str">
        <f t="shared" si="85"/>
        <v/>
      </c>
      <c r="X114" s="13"/>
      <c r="Y114" s="14" t="str">
        <f t="shared" si="86"/>
        <v/>
      </c>
      <c r="Z114" s="13"/>
      <c r="AA114" s="14" t="str">
        <f t="shared" si="87"/>
        <v/>
      </c>
      <c r="AB114" s="13"/>
      <c r="AC114" s="14" t="str">
        <f t="shared" si="88"/>
        <v/>
      </c>
      <c r="AD114" s="13"/>
      <c r="AE114" s="14">
        <f t="shared" si="89"/>
        <v>0</v>
      </c>
      <c r="AF114" s="14">
        <f t="shared" si="90"/>
        <v>0</v>
      </c>
      <c r="AG114" s="13"/>
      <c r="AH114" s="14" t="str">
        <f t="shared" si="91"/>
        <v/>
      </c>
      <c r="AI114" s="13"/>
      <c r="AJ114" s="14" t="str">
        <f t="shared" si="92"/>
        <v/>
      </c>
      <c r="AK114" s="13"/>
      <c r="AL114" s="14" t="str">
        <f t="shared" si="93"/>
        <v/>
      </c>
      <c r="AM114" s="13"/>
      <c r="AN114" s="14" t="str">
        <f t="shared" si="94"/>
        <v/>
      </c>
      <c r="AO114" s="13"/>
      <c r="AP114" s="14" t="str">
        <f t="shared" si="95"/>
        <v/>
      </c>
      <c r="AQ114" s="13"/>
      <c r="AR114" s="14">
        <f t="shared" si="96"/>
        <v>0</v>
      </c>
      <c r="AS114" s="13"/>
      <c r="AT114" s="14">
        <f t="shared" si="97"/>
        <v>0</v>
      </c>
      <c r="AU114" s="14">
        <f t="shared" si="98"/>
        <v>0</v>
      </c>
      <c r="AV114" s="13"/>
      <c r="AW114" s="14" t="str">
        <f t="shared" si="99"/>
        <v/>
      </c>
      <c r="AX114" s="13"/>
      <c r="AY114" s="14" t="str">
        <f t="shared" si="100"/>
        <v/>
      </c>
      <c r="AZ114" s="13"/>
      <c r="BA114" s="14" t="str">
        <f t="shared" si="101"/>
        <v/>
      </c>
      <c r="BB114" s="13"/>
      <c r="BC114" s="14">
        <f t="shared" si="102"/>
        <v>0</v>
      </c>
      <c r="BD114" s="14">
        <f t="shared" si="103"/>
        <v>0</v>
      </c>
      <c r="BE114" s="13"/>
      <c r="BF114" s="14" t="str">
        <f t="shared" si="104"/>
        <v/>
      </c>
      <c r="BG114" s="13"/>
      <c r="BH114" s="14" t="str">
        <f t="shared" si="105"/>
        <v/>
      </c>
      <c r="BI114" s="14">
        <f t="shared" si="106"/>
        <v>0</v>
      </c>
      <c r="BJ114" s="14">
        <f t="shared" si="107"/>
        <v>0</v>
      </c>
      <c r="BK114" s="14" t="str">
        <f t="shared" si="108"/>
        <v>LOW RISK</v>
      </c>
      <c r="BL114" s="14" t="str">
        <f t="shared" si="109"/>
        <v/>
      </c>
      <c r="BM114" s="13"/>
      <c r="BN114" s="12"/>
      <c r="BO114" s="13"/>
      <c r="BP114" s="13"/>
      <c r="BQ114" s="13"/>
      <c r="BR114" s="13"/>
      <c r="BS114" s="13"/>
      <c r="BT114" s="13"/>
      <c r="BU114" s="14" t="str">
        <f t="shared" si="110"/>
        <v/>
      </c>
      <c r="BV114" s="13"/>
      <c r="BW114" s="13"/>
      <c r="BX114" s="13"/>
      <c r="BY114" s="13"/>
      <c r="BZ114" s="13"/>
      <c r="CA114" s="13"/>
      <c r="CB114" s="13"/>
      <c r="CC114" s="14" t="str">
        <f t="shared" si="111"/>
        <v/>
      </c>
      <c r="CD114" s="13"/>
      <c r="CE114" s="13"/>
      <c r="CF114" s="12"/>
      <c r="CG114" s="13"/>
      <c r="CH114" s="13"/>
      <c r="CI114" s="13"/>
      <c r="CJ114" s="13"/>
      <c r="CK114" s="13"/>
      <c r="CL114" s="12"/>
      <c r="CM114" s="13"/>
      <c r="CN114" s="13"/>
      <c r="CO114" s="13"/>
      <c r="CP114" s="12"/>
    </row>
    <row r="115" spans="1:94" x14ac:dyDescent="0.2">
      <c r="A115" s="12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4" t="str">
        <f t="shared" si="84"/>
        <v>✓ Clear to Score</v>
      </c>
      <c r="U115" s="13"/>
      <c r="V115" s="13"/>
      <c r="W115" s="14" t="str">
        <f t="shared" si="85"/>
        <v/>
      </c>
      <c r="X115" s="13"/>
      <c r="Y115" s="14" t="str">
        <f t="shared" si="86"/>
        <v/>
      </c>
      <c r="Z115" s="13"/>
      <c r="AA115" s="14" t="str">
        <f t="shared" si="87"/>
        <v/>
      </c>
      <c r="AB115" s="13"/>
      <c r="AC115" s="14" t="str">
        <f t="shared" si="88"/>
        <v/>
      </c>
      <c r="AD115" s="13"/>
      <c r="AE115" s="14">
        <f t="shared" si="89"/>
        <v>0</v>
      </c>
      <c r="AF115" s="14">
        <f t="shared" si="90"/>
        <v>0</v>
      </c>
      <c r="AG115" s="13"/>
      <c r="AH115" s="14" t="str">
        <f t="shared" si="91"/>
        <v/>
      </c>
      <c r="AI115" s="13"/>
      <c r="AJ115" s="14" t="str">
        <f t="shared" si="92"/>
        <v/>
      </c>
      <c r="AK115" s="13"/>
      <c r="AL115" s="14" t="str">
        <f t="shared" si="93"/>
        <v/>
      </c>
      <c r="AM115" s="13"/>
      <c r="AN115" s="14" t="str">
        <f t="shared" si="94"/>
        <v/>
      </c>
      <c r="AO115" s="13"/>
      <c r="AP115" s="14" t="str">
        <f t="shared" si="95"/>
        <v/>
      </c>
      <c r="AQ115" s="13"/>
      <c r="AR115" s="14">
        <f t="shared" si="96"/>
        <v>0</v>
      </c>
      <c r="AS115" s="13"/>
      <c r="AT115" s="14">
        <f t="shared" si="97"/>
        <v>0</v>
      </c>
      <c r="AU115" s="14">
        <f t="shared" si="98"/>
        <v>0</v>
      </c>
      <c r="AV115" s="13"/>
      <c r="AW115" s="14" t="str">
        <f t="shared" si="99"/>
        <v/>
      </c>
      <c r="AX115" s="13"/>
      <c r="AY115" s="14" t="str">
        <f t="shared" si="100"/>
        <v/>
      </c>
      <c r="AZ115" s="13"/>
      <c r="BA115" s="14" t="str">
        <f t="shared" si="101"/>
        <v/>
      </c>
      <c r="BB115" s="13"/>
      <c r="BC115" s="14">
        <f t="shared" si="102"/>
        <v>0</v>
      </c>
      <c r="BD115" s="14">
        <f t="shared" si="103"/>
        <v>0</v>
      </c>
      <c r="BE115" s="13"/>
      <c r="BF115" s="14" t="str">
        <f t="shared" si="104"/>
        <v/>
      </c>
      <c r="BG115" s="13"/>
      <c r="BH115" s="14" t="str">
        <f t="shared" si="105"/>
        <v/>
      </c>
      <c r="BI115" s="14">
        <f t="shared" si="106"/>
        <v>0</v>
      </c>
      <c r="BJ115" s="14">
        <f t="shared" si="107"/>
        <v>0</v>
      </c>
      <c r="BK115" s="14" t="str">
        <f t="shared" si="108"/>
        <v>LOW RISK</v>
      </c>
      <c r="BL115" s="14" t="str">
        <f t="shared" si="109"/>
        <v/>
      </c>
      <c r="BM115" s="13"/>
      <c r="BN115" s="12"/>
      <c r="BO115" s="13"/>
      <c r="BP115" s="13"/>
      <c r="BQ115" s="13"/>
      <c r="BR115" s="13"/>
      <c r="BS115" s="13"/>
      <c r="BT115" s="13"/>
      <c r="BU115" s="14" t="str">
        <f t="shared" si="110"/>
        <v/>
      </c>
      <c r="BV115" s="13"/>
      <c r="BW115" s="13"/>
      <c r="BX115" s="13"/>
      <c r="BY115" s="13"/>
      <c r="BZ115" s="13"/>
      <c r="CA115" s="13"/>
      <c r="CB115" s="13"/>
      <c r="CC115" s="14" t="str">
        <f t="shared" si="111"/>
        <v/>
      </c>
      <c r="CD115" s="13"/>
      <c r="CE115" s="13"/>
      <c r="CF115" s="12"/>
      <c r="CG115" s="13"/>
      <c r="CH115" s="13"/>
      <c r="CI115" s="13"/>
      <c r="CJ115" s="13"/>
      <c r="CK115" s="13"/>
      <c r="CL115" s="12"/>
      <c r="CM115" s="13"/>
      <c r="CN115" s="13"/>
      <c r="CO115" s="13"/>
      <c r="CP115" s="12"/>
    </row>
    <row r="116" spans="1:94" x14ac:dyDescent="0.2">
      <c r="A116" s="12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4" t="str">
        <f t="shared" si="84"/>
        <v>✓ Clear to Score</v>
      </c>
      <c r="U116" s="13"/>
      <c r="V116" s="13"/>
      <c r="W116" s="14" t="str">
        <f t="shared" si="85"/>
        <v/>
      </c>
      <c r="X116" s="13"/>
      <c r="Y116" s="14" t="str">
        <f t="shared" si="86"/>
        <v/>
      </c>
      <c r="Z116" s="13"/>
      <c r="AA116" s="14" t="str">
        <f t="shared" si="87"/>
        <v/>
      </c>
      <c r="AB116" s="13"/>
      <c r="AC116" s="14" t="str">
        <f t="shared" si="88"/>
        <v/>
      </c>
      <c r="AD116" s="13"/>
      <c r="AE116" s="14">
        <f t="shared" si="89"/>
        <v>0</v>
      </c>
      <c r="AF116" s="14">
        <f t="shared" si="90"/>
        <v>0</v>
      </c>
      <c r="AG116" s="13"/>
      <c r="AH116" s="14" t="str">
        <f t="shared" si="91"/>
        <v/>
      </c>
      <c r="AI116" s="13"/>
      <c r="AJ116" s="14" t="str">
        <f t="shared" si="92"/>
        <v/>
      </c>
      <c r="AK116" s="13"/>
      <c r="AL116" s="14" t="str">
        <f t="shared" si="93"/>
        <v/>
      </c>
      <c r="AM116" s="13"/>
      <c r="AN116" s="14" t="str">
        <f t="shared" si="94"/>
        <v/>
      </c>
      <c r="AO116" s="13"/>
      <c r="AP116" s="14" t="str">
        <f t="shared" si="95"/>
        <v/>
      </c>
      <c r="AQ116" s="13"/>
      <c r="AR116" s="14">
        <f t="shared" si="96"/>
        <v>0</v>
      </c>
      <c r="AS116" s="13"/>
      <c r="AT116" s="14">
        <f t="shared" si="97"/>
        <v>0</v>
      </c>
      <c r="AU116" s="14">
        <f t="shared" si="98"/>
        <v>0</v>
      </c>
      <c r="AV116" s="13"/>
      <c r="AW116" s="14" t="str">
        <f t="shared" si="99"/>
        <v/>
      </c>
      <c r="AX116" s="13"/>
      <c r="AY116" s="14" t="str">
        <f t="shared" si="100"/>
        <v/>
      </c>
      <c r="AZ116" s="13"/>
      <c r="BA116" s="14" t="str">
        <f t="shared" si="101"/>
        <v/>
      </c>
      <c r="BB116" s="13"/>
      <c r="BC116" s="14">
        <f t="shared" si="102"/>
        <v>0</v>
      </c>
      <c r="BD116" s="14">
        <f t="shared" si="103"/>
        <v>0</v>
      </c>
      <c r="BE116" s="13"/>
      <c r="BF116" s="14" t="str">
        <f t="shared" si="104"/>
        <v/>
      </c>
      <c r="BG116" s="13"/>
      <c r="BH116" s="14" t="str">
        <f t="shared" si="105"/>
        <v/>
      </c>
      <c r="BI116" s="14">
        <f t="shared" si="106"/>
        <v>0</v>
      </c>
      <c r="BJ116" s="14">
        <f t="shared" si="107"/>
        <v>0</v>
      </c>
      <c r="BK116" s="14" t="str">
        <f t="shared" si="108"/>
        <v>LOW RISK</v>
      </c>
      <c r="BL116" s="14" t="str">
        <f t="shared" si="109"/>
        <v/>
      </c>
      <c r="BM116" s="13"/>
      <c r="BN116" s="12"/>
      <c r="BO116" s="13"/>
      <c r="BP116" s="13"/>
      <c r="BQ116" s="13"/>
      <c r="BR116" s="13"/>
      <c r="BS116" s="13"/>
      <c r="BT116" s="13"/>
      <c r="BU116" s="14" t="str">
        <f t="shared" si="110"/>
        <v/>
      </c>
      <c r="BV116" s="13"/>
      <c r="BW116" s="13"/>
      <c r="BX116" s="13"/>
      <c r="BY116" s="13"/>
      <c r="BZ116" s="13"/>
      <c r="CA116" s="13"/>
      <c r="CB116" s="13"/>
      <c r="CC116" s="14" t="str">
        <f t="shared" si="111"/>
        <v/>
      </c>
      <c r="CD116" s="13"/>
      <c r="CE116" s="13"/>
      <c r="CF116" s="12"/>
      <c r="CG116" s="13"/>
      <c r="CH116" s="13"/>
      <c r="CI116" s="13"/>
      <c r="CJ116" s="13"/>
      <c r="CK116" s="13"/>
      <c r="CL116" s="12"/>
      <c r="CM116" s="13"/>
      <c r="CN116" s="13"/>
      <c r="CO116" s="13"/>
      <c r="CP116" s="12"/>
    </row>
    <row r="117" spans="1:94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4" t="str">
        <f t="shared" si="84"/>
        <v>✓ Clear to Score</v>
      </c>
      <c r="U117" s="13"/>
      <c r="V117" s="13"/>
      <c r="W117" s="14" t="str">
        <f t="shared" si="85"/>
        <v/>
      </c>
      <c r="X117" s="13"/>
      <c r="Y117" s="14" t="str">
        <f t="shared" si="86"/>
        <v/>
      </c>
      <c r="Z117" s="13"/>
      <c r="AA117" s="14" t="str">
        <f t="shared" si="87"/>
        <v/>
      </c>
      <c r="AB117" s="13"/>
      <c r="AC117" s="14" t="str">
        <f t="shared" si="88"/>
        <v/>
      </c>
      <c r="AD117" s="13"/>
      <c r="AE117" s="14">
        <f t="shared" si="89"/>
        <v>0</v>
      </c>
      <c r="AF117" s="14">
        <f t="shared" si="90"/>
        <v>0</v>
      </c>
      <c r="AG117" s="13"/>
      <c r="AH117" s="14" t="str">
        <f t="shared" si="91"/>
        <v/>
      </c>
      <c r="AI117" s="13"/>
      <c r="AJ117" s="14" t="str">
        <f t="shared" si="92"/>
        <v/>
      </c>
      <c r="AK117" s="13"/>
      <c r="AL117" s="14" t="str">
        <f t="shared" si="93"/>
        <v/>
      </c>
      <c r="AM117" s="13"/>
      <c r="AN117" s="14" t="str">
        <f t="shared" si="94"/>
        <v/>
      </c>
      <c r="AO117" s="13"/>
      <c r="AP117" s="14" t="str">
        <f t="shared" si="95"/>
        <v/>
      </c>
      <c r="AQ117" s="13"/>
      <c r="AR117" s="14">
        <f t="shared" si="96"/>
        <v>0</v>
      </c>
      <c r="AS117" s="13"/>
      <c r="AT117" s="14">
        <f t="shared" si="97"/>
        <v>0</v>
      </c>
      <c r="AU117" s="14">
        <f t="shared" si="98"/>
        <v>0</v>
      </c>
      <c r="AV117" s="13"/>
      <c r="AW117" s="14" t="str">
        <f t="shared" si="99"/>
        <v/>
      </c>
      <c r="AX117" s="13"/>
      <c r="AY117" s="14" t="str">
        <f t="shared" si="100"/>
        <v/>
      </c>
      <c r="AZ117" s="13"/>
      <c r="BA117" s="14" t="str">
        <f t="shared" si="101"/>
        <v/>
      </c>
      <c r="BB117" s="13"/>
      <c r="BC117" s="14">
        <f t="shared" si="102"/>
        <v>0</v>
      </c>
      <c r="BD117" s="14">
        <f t="shared" si="103"/>
        <v>0</v>
      </c>
      <c r="BE117" s="13"/>
      <c r="BF117" s="14" t="str">
        <f t="shared" si="104"/>
        <v/>
      </c>
      <c r="BG117" s="13"/>
      <c r="BH117" s="14" t="str">
        <f t="shared" si="105"/>
        <v/>
      </c>
      <c r="BI117" s="14">
        <f t="shared" si="106"/>
        <v>0</v>
      </c>
      <c r="BJ117" s="14">
        <f t="shared" si="107"/>
        <v>0</v>
      </c>
      <c r="BK117" s="14" t="str">
        <f t="shared" si="108"/>
        <v>LOW RISK</v>
      </c>
      <c r="BL117" s="14" t="str">
        <f t="shared" si="109"/>
        <v/>
      </c>
      <c r="BM117" s="13"/>
      <c r="BN117" s="12"/>
      <c r="BO117" s="13"/>
      <c r="BP117" s="13"/>
      <c r="BQ117" s="13"/>
      <c r="BR117" s="13"/>
      <c r="BS117" s="13"/>
      <c r="BT117" s="13"/>
      <c r="BU117" s="14" t="str">
        <f t="shared" si="110"/>
        <v/>
      </c>
      <c r="BV117" s="13"/>
      <c r="BW117" s="13"/>
      <c r="BX117" s="13"/>
      <c r="BY117" s="13"/>
      <c r="BZ117" s="13"/>
      <c r="CA117" s="13"/>
      <c r="CB117" s="13"/>
      <c r="CC117" s="14" t="str">
        <f t="shared" si="111"/>
        <v/>
      </c>
      <c r="CD117" s="13"/>
      <c r="CE117" s="13"/>
      <c r="CF117" s="12"/>
      <c r="CG117" s="13"/>
      <c r="CH117" s="13"/>
      <c r="CI117" s="13"/>
      <c r="CJ117" s="13"/>
      <c r="CK117" s="13"/>
      <c r="CL117" s="12"/>
      <c r="CM117" s="13"/>
      <c r="CN117" s="13"/>
      <c r="CO117" s="13"/>
      <c r="CP117" s="12"/>
    </row>
    <row r="118" spans="1:94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4" t="str">
        <f t="shared" si="84"/>
        <v>✓ Clear to Score</v>
      </c>
      <c r="U118" s="13"/>
      <c r="V118" s="13"/>
      <c r="W118" s="14" t="str">
        <f t="shared" si="85"/>
        <v/>
      </c>
      <c r="X118" s="13"/>
      <c r="Y118" s="14" t="str">
        <f t="shared" si="86"/>
        <v/>
      </c>
      <c r="Z118" s="13"/>
      <c r="AA118" s="14" t="str">
        <f t="shared" si="87"/>
        <v/>
      </c>
      <c r="AB118" s="13"/>
      <c r="AC118" s="14" t="str">
        <f t="shared" si="88"/>
        <v/>
      </c>
      <c r="AD118" s="13"/>
      <c r="AE118" s="14">
        <f t="shared" si="89"/>
        <v>0</v>
      </c>
      <c r="AF118" s="14">
        <f t="shared" si="90"/>
        <v>0</v>
      </c>
      <c r="AG118" s="13"/>
      <c r="AH118" s="14" t="str">
        <f t="shared" si="91"/>
        <v/>
      </c>
      <c r="AI118" s="13"/>
      <c r="AJ118" s="14" t="str">
        <f t="shared" si="92"/>
        <v/>
      </c>
      <c r="AK118" s="13"/>
      <c r="AL118" s="14" t="str">
        <f t="shared" si="93"/>
        <v/>
      </c>
      <c r="AM118" s="13"/>
      <c r="AN118" s="14" t="str">
        <f t="shared" si="94"/>
        <v/>
      </c>
      <c r="AO118" s="13"/>
      <c r="AP118" s="14" t="str">
        <f t="shared" si="95"/>
        <v/>
      </c>
      <c r="AQ118" s="13"/>
      <c r="AR118" s="14">
        <f t="shared" si="96"/>
        <v>0</v>
      </c>
      <c r="AS118" s="13"/>
      <c r="AT118" s="14">
        <f t="shared" si="97"/>
        <v>0</v>
      </c>
      <c r="AU118" s="14">
        <f t="shared" si="98"/>
        <v>0</v>
      </c>
      <c r="AV118" s="13"/>
      <c r="AW118" s="14" t="str">
        <f t="shared" si="99"/>
        <v/>
      </c>
      <c r="AX118" s="13"/>
      <c r="AY118" s="14" t="str">
        <f t="shared" si="100"/>
        <v/>
      </c>
      <c r="AZ118" s="13"/>
      <c r="BA118" s="14" t="str">
        <f t="shared" si="101"/>
        <v/>
      </c>
      <c r="BB118" s="13"/>
      <c r="BC118" s="14">
        <f t="shared" si="102"/>
        <v>0</v>
      </c>
      <c r="BD118" s="14">
        <f t="shared" si="103"/>
        <v>0</v>
      </c>
      <c r="BE118" s="13"/>
      <c r="BF118" s="14" t="str">
        <f t="shared" si="104"/>
        <v/>
      </c>
      <c r="BG118" s="13"/>
      <c r="BH118" s="14" t="str">
        <f t="shared" si="105"/>
        <v/>
      </c>
      <c r="BI118" s="14">
        <f t="shared" si="106"/>
        <v>0</v>
      </c>
      <c r="BJ118" s="14">
        <f t="shared" si="107"/>
        <v>0</v>
      </c>
      <c r="BK118" s="14" t="str">
        <f t="shared" si="108"/>
        <v>LOW RISK</v>
      </c>
      <c r="BL118" s="14" t="str">
        <f t="shared" si="109"/>
        <v/>
      </c>
      <c r="BM118" s="13"/>
      <c r="BN118" s="12"/>
      <c r="BO118" s="13"/>
      <c r="BP118" s="13"/>
      <c r="BQ118" s="13"/>
      <c r="BR118" s="13"/>
      <c r="BS118" s="13"/>
      <c r="BT118" s="13"/>
      <c r="BU118" s="14" t="str">
        <f t="shared" si="110"/>
        <v/>
      </c>
      <c r="BV118" s="13"/>
      <c r="BW118" s="13"/>
      <c r="BX118" s="13"/>
      <c r="BY118" s="13"/>
      <c r="BZ118" s="13"/>
      <c r="CA118" s="13"/>
      <c r="CB118" s="13"/>
      <c r="CC118" s="14" t="str">
        <f t="shared" si="111"/>
        <v/>
      </c>
      <c r="CD118" s="13"/>
      <c r="CE118" s="13"/>
      <c r="CF118" s="12"/>
      <c r="CG118" s="13"/>
      <c r="CH118" s="13"/>
      <c r="CI118" s="13"/>
      <c r="CJ118" s="13"/>
      <c r="CK118" s="13"/>
      <c r="CL118" s="12"/>
      <c r="CM118" s="13"/>
      <c r="CN118" s="13"/>
      <c r="CO118" s="13"/>
      <c r="CP118" s="12"/>
    </row>
    <row r="119" spans="1:94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4" t="str">
        <f t="shared" si="84"/>
        <v>✓ Clear to Score</v>
      </c>
      <c r="U119" s="13"/>
      <c r="V119" s="13"/>
      <c r="W119" s="14" t="str">
        <f t="shared" si="85"/>
        <v/>
      </c>
      <c r="X119" s="13"/>
      <c r="Y119" s="14" t="str">
        <f t="shared" si="86"/>
        <v/>
      </c>
      <c r="Z119" s="13"/>
      <c r="AA119" s="14" t="str">
        <f t="shared" si="87"/>
        <v/>
      </c>
      <c r="AB119" s="13"/>
      <c r="AC119" s="14" t="str">
        <f t="shared" si="88"/>
        <v/>
      </c>
      <c r="AD119" s="13"/>
      <c r="AE119" s="14">
        <f t="shared" si="89"/>
        <v>0</v>
      </c>
      <c r="AF119" s="14">
        <f t="shared" si="90"/>
        <v>0</v>
      </c>
      <c r="AG119" s="13"/>
      <c r="AH119" s="14" t="str">
        <f t="shared" si="91"/>
        <v/>
      </c>
      <c r="AI119" s="13"/>
      <c r="AJ119" s="14" t="str">
        <f t="shared" si="92"/>
        <v/>
      </c>
      <c r="AK119" s="13"/>
      <c r="AL119" s="14" t="str">
        <f t="shared" si="93"/>
        <v/>
      </c>
      <c r="AM119" s="13"/>
      <c r="AN119" s="14" t="str">
        <f t="shared" si="94"/>
        <v/>
      </c>
      <c r="AO119" s="13"/>
      <c r="AP119" s="14" t="str">
        <f t="shared" si="95"/>
        <v/>
      </c>
      <c r="AQ119" s="13"/>
      <c r="AR119" s="14">
        <f t="shared" si="96"/>
        <v>0</v>
      </c>
      <c r="AS119" s="13"/>
      <c r="AT119" s="14">
        <f t="shared" si="97"/>
        <v>0</v>
      </c>
      <c r="AU119" s="14">
        <f t="shared" si="98"/>
        <v>0</v>
      </c>
      <c r="AV119" s="13"/>
      <c r="AW119" s="14" t="str">
        <f t="shared" si="99"/>
        <v/>
      </c>
      <c r="AX119" s="13"/>
      <c r="AY119" s="14" t="str">
        <f t="shared" si="100"/>
        <v/>
      </c>
      <c r="AZ119" s="13"/>
      <c r="BA119" s="14" t="str">
        <f t="shared" si="101"/>
        <v/>
      </c>
      <c r="BB119" s="13"/>
      <c r="BC119" s="14">
        <f t="shared" si="102"/>
        <v>0</v>
      </c>
      <c r="BD119" s="14">
        <f t="shared" si="103"/>
        <v>0</v>
      </c>
      <c r="BE119" s="13"/>
      <c r="BF119" s="14" t="str">
        <f t="shared" si="104"/>
        <v/>
      </c>
      <c r="BG119" s="13"/>
      <c r="BH119" s="14" t="str">
        <f t="shared" si="105"/>
        <v/>
      </c>
      <c r="BI119" s="14">
        <f t="shared" si="106"/>
        <v>0</v>
      </c>
      <c r="BJ119" s="14">
        <f t="shared" si="107"/>
        <v>0</v>
      </c>
      <c r="BK119" s="14" t="str">
        <f t="shared" si="108"/>
        <v>LOW RISK</v>
      </c>
      <c r="BL119" s="14" t="str">
        <f t="shared" si="109"/>
        <v/>
      </c>
      <c r="BM119" s="13"/>
      <c r="BN119" s="12"/>
      <c r="BO119" s="13"/>
      <c r="BP119" s="13"/>
      <c r="BQ119" s="13"/>
      <c r="BR119" s="13"/>
      <c r="BS119" s="13"/>
      <c r="BT119" s="13"/>
      <c r="BU119" s="14" t="str">
        <f t="shared" si="110"/>
        <v/>
      </c>
      <c r="BV119" s="13"/>
      <c r="BW119" s="13"/>
      <c r="BX119" s="13"/>
      <c r="BY119" s="13"/>
      <c r="BZ119" s="13"/>
      <c r="CA119" s="13"/>
      <c r="CB119" s="13"/>
      <c r="CC119" s="14" t="str">
        <f t="shared" si="111"/>
        <v/>
      </c>
      <c r="CD119" s="13"/>
      <c r="CE119" s="13"/>
      <c r="CF119" s="12"/>
      <c r="CG119" s="13"/>
      <c r="CH119" s="13"/>
      <c r="CI119" s="13"/>
      <c r="CJ119" s="13"/>
      <c r="CK119" s="13"/>
      <c r="CL119" s="12"/>
      <c r="CM119" s="13"/>
      <c r="CN119" s="13"/>
      <c r="CO119" s="13"/>
      <c r="CP119" s="12"/>
    </row>
    <row r="120" spans="1:94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4" t="str">
        <f t="shared" si="84"/>
        <v>✓ Clear to Score</v>
      </c>
      <c r="U120" s="13"/>
      <c r="V120" s="13"/>
      <c r="W120" s="14" t="str">
        <f t="shared" si="85"/>
        <v/>
      </c>
      <c r="X120" s="13"/>
      <c r="Y120" s="14" t="str">
        <f t="shared" si="86"/>
        <v/>
      </c>
      <c r="Z120" s="13"/>
      <c r="AA120" s="14" t="str">
        <f t="shared" si="87"/>
        <v/>
      </c>
      <c r="AB120" s="13"/>
      <c r="AC120" s="14" t="str">
        <f t="shared" si="88"/>
        <v/>
      </c>
      <c r="AD120" s="13"/>
      <c r="AE120" s="14">
        <f t="shared" si="89"/>
        <v>0</v>
      </c>
      <c r="AF120" s="14">
        <f t="shared" si="90"/>
        <v>0</v>
      </c>
      <c r="AG120" s="13"/>
      <c r="AH120" s="14" t="str">
        <f t="shared" si="91"/>
        <v/>
      </c>
      <c r="AI120" s="13"/>
      <c r="AJ120" s="14" t="str">
        <f t="shared" si="92"/>
        <v/>
      </c>
      <c r="AK120" s="13"/>
      <c r="AL120" s="14" t="str">
        <f t="shared" si="93"/>
        <v/>
      </c>
      <c r="AM120" s="13"/>
      <c r="AN120" s="14" t="str">
        <f t="shared" si="94"/>
        <v/>
      </c>
      <c r="AO120" s="13"/>
      <c r="AP120" s="14" t="str">
        <f t="shared" si="95"/>
        <v/>
      </c>
      <c r="AQ120" s="13"/>
      <c r="AR120" s="14">
        <f t="shared" si="96"/>
        <v>0</v>
      </c>
      <c r="AS120" s="13"/>
      <c r="AT120" s="14">
        <f t="shared" si="97"/>
        <v>0</v>
      </c>
      <c r="AU120" s="14">
        <f t="shared" si="98"/>
        <v>0</v>
      </c>
      <c r="AV120" s="13"/>
      <c r="AW120" s="14" t="str">
        <f t="shared" si="99"/>
        <v/>
      </c>
      <c r="AX120" s="13"/>
      <c r="AY120" s="14" t="str">
        <f t="shared" si="100"/>
        <v/>
      </c>
      <c r="AZ120" s="13"/>
      <c r="BA120" s="14" t="str">
        <f t="shared" si="101"/>
        <v/>
      </c>
      <c r="BB120" s="13"/>
      <c r="BC120" s="14">
        <f t="shared" si="102"/>
        <v>0</v>
      </c>
      <c r="BD120" s="14">
        <f t="shared" si="103"/>
        <v>0</v>
      </c>
      <c r="BE120" s="13"/>
      <c r="BF120" s="14" t="str">
        <f t="shared" si="104"/>
        <v/>
      </c>
      <c r="BG120" s="13"/>
      <c r="BH120" s="14" t="str">
        <f t="shared" si="105"/>
        <v/>
      </c>
      <c r="BI120" s="14">
        <f t="shared" si="106"/>
        <v>0</v>
      </c>
      <c r="BJ120" s="14">
        <f t="shared" si="107"/>
        <v>0</v>
      </c>
      <c r="BK120" s="14" t="str">
        <f t="shared" si="108"/>
        <v>LOW RISK</v>
      </c>
      <c r="BL120" s="14" t="str">
        <f t="shared" si="109"/>
        <v/>
      </c>
      <c r="BM120" s="13"/>
      <c r="BN120" s="12"/>
      <c r="BO120" s="13"/>
      <c r="BP120" s="13"/>
      <c r="BQ120" s="13"/>
      <c r="BR120" s="13"/>
      <c r="BS120" s="13"/>
      <c r="BT120" s="13"/>
      <c r="BU120" s="14" t="str">
        <f t="shared" si="110"/>
        <v/>
      </c>
      <c r="BV120" s="13"/>
      <c r="BW120" s="13"/>
      <c r="BX120" s="13"/>
      <c r="BY120" s="13"/>
      <c r="BZ120" s="13"/>
      <c r="CA120" s="13"/>
      <c r="CB120" s="13"/>
      <c r="CC120" s="14" t="str">
        <f t="shared" si="111"/>
        <v/>
      </c>
      <c r="CD120" s="13"/>
      <c r="CE120" s="13"/>
      <c r="CF120" s="12"/>
      <c r="CG120" s="13"/>
      <c r="CH120" s="13"/>
      <c r="CI120" s="13"/>
      <c r="CJ120" s="13"/>
      <c r="CK120" s="13"/>
      <c r="CL120" s="12"/>
      <c r="CM120" s="13"/>
      <c r="CN120" s="13"/>
      <c r="CO120" s="13"/>
      <c r="CP120" s="12"/>
    </row>
    <row r="121" spans="1:94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4" t="str">
        <f t="shared" si="84"/>
        <v>✓ Clear to Score</v>
      </c>
      <c r="U121" s="13"/>
      <c r="V121" s="13"/>
      <c r="W121" s="14" t="str">
        <f t="shared" si="85"/>
        <v/>
      </c>
      <c r="X121" s="13"/>
      <c r="Y121" s="14" t="str">
        <f t="shared" si="86"/>
        <v/>
      </c>
      <c r="Z121" s="13"/>
      <c r="AA121" s="14" t="str">
        <f t="shared" si="87"/>
        <v/>
      </c>
      <c r="AB121" s="13"/>
      <c r="AC121" s="14" t="str">
        <f t="shared" si="88"/>
        <v/>
      </c>
      <c r="AD121" s="13"/>
      <c r="AE121" s="14">
        <f t="shared" si="89"/>
        <v>0</v>
      </c>
      <c r="AF121" s="14">
        <f t="shared" si="90"/>
        <v>0</v>
      </c>
      <c r="AG121" s="13"/>
      <c r="AH121" s="14" t="str">
        <f t="shared" si="91"/>
        <v/>
      </c>
      <c r="AI121" s="13"/>
      <c r="AJ121" s="14" t="str">
        <f t="shared" si="92"/>
        <v/>
      </c>
      <c r="AK121" s="13"/>
      <c r="AL121" s="14" t="str">
        <f t="shared" si="93"/>
        <v/>
      </c>
      <c r="AM121" s="13"/>
      <c r="AN121" s="14" t="str">
        <f t="shared" si="94"/>
        <v/>
      </c>
      <c r="AO121" s="13"/>
      <c r="AP121" s="14" t="str">
        <f t="shared" si="95"/>
        <v/>
      </c>
      <c r="AQ121" s="13"/>
      <c r="AR121" s="14">
        <f t="shared" si="96"/>
        <v>0</v>
      </c>
      <c r="AS121" s="13"/>
      <c r="AT121" s="14">
        <f t="shared" si="97"/>
        <v>0</v>
      </c>
      <c r="AU121" s="14">
        <f t="shared" si="98"/>
        <v>0</v>
      </c>
      <c r="AV121" s="13"/>
      <c r="AW121" s="14" t="str">
        <f t="shared" si="99"/>
        <v/>
      </c>
      <c r="AX121" s="13"/>
      <c r="AY121" s="14" t="str">
        <f t="shared" si="100"/>
        <v/>
      </c>
      <c r="AZ121" s="13"/>
      <c r="BA121" s="14" t="str">
        <f t="shared" si="101"/>
        <v/>
      </c>
      <c r="BB121" s="13"/>
      <c r="BC121" s="14">
        <f t="shared" si="102"/>
        <v>0</v>
      </c>
      <c r="BD121" s="14">
        <f t="shared" si="103"/>
        <v>0</v>
      </c>
      <c r="BE121" s="13"/>
      <c r="BF121" s="14" t="str">
        <f t="shared" si="104"/>
        <v/>
      </c>
      <c r="BG121" s="13"/>
      <c r="BH121" s="14" t="str">
        <f t="shared" si="105"/>
        <v/>
      </c>
      <c r="BI121" s="14">
        <f t="shared" si="106"/>
        <v>0</v>
      </c>
      <c r="BJ121" s="14">
        <f t="shared" si="107"/>
        <v>0</v>
      </c>
      <c r="BK121" s="14" t="str">
        <f t="shared" si="108"/>
        <v>LOW RISK</v>
      </c>
      <c r="BL121" s="14" t="str">
        <f t="shared" si="109"/>
        <v/>
      </c>
      <c r="BM121" s="13"/>
      <c r="BN121" s="12"/>
      <c r="BO121" s="13"/>
      <c r="BP121" s="13"/>
      <c r="BQ121" s="13"/>
      <c r="BR121" s="13"/>
      <c r="BS121" s="13"/>
      <c r="BT121" s="13"/>
      <c r="BU121" s="14" t="str">
        <f t="shared" si="110"/>
        <v/>
      </c>
      <c r="BV121" s="13"/>
      <c r="BW121" s="13"/>
      <c r="BX121" s="13"/>
      <c r="BY121" s="13"/>
      <c r="BZ121" s="13"/>
      <c r="CA121" s="13"/>
      <c r="CB121" s="13"/>
      <c r="CC121" s="14" t="str">
        <f t="shared" si="111"/>
        <v/>
      </c>
      <c r="CD121" s="13"/>
      <c r="CE121" s="13"/>
      <c r="CF121" s="12"/>
      <c r="CG121" s="13"/>
      <c r="CH121" s="13"/>
      <c r="CI121" s="13"/>
      <c r="CJ121" s="13"/>
      <c r="CK121" s="13"/>
      <c r="CL121" s="12"/>
      <c r="CM121" s="13"/>
      <c r="CN121" s="13"/>
      <c r="CO121" s="13"/>
      <c r="CP121" s="12"/>
    </row>
    <row r="122" spans="1:94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4" t="str">
        <f t="shared" si="84"/>
        <v>✓ Clear to Score</v>
      </c>
      <c r="U122" s="13"/>
      <c r="V122" s="13"/>
      <c r="W122" s="14" t="str">
        <f t="shared" si="85"/>
        <v/>
      </c>
      <c r="X122" s="13"/>
      <c r="Y122" s="14" t="str">
        <f t="shared" si="86"/>
        <v/>
      </c>
      <c r="Z122" s="13"/>
      <c r="AA122" s="14" t="str">
        <f t="shared" si="87"/>
        <v/>
      </c>
      <c r="AB122" s="13"/>
      <c r="AC122" s="14" t="str">
        <f t="shared" si="88"/>
        <v/>
      </c>
      <c r="AD122" s="13"/>
      <c r="AE122" s="14">
        <f t="shared" si="89"/>
        <v>0</v>
      </c>
      <c r="AF122" s="14">
        <f t="shared" si="90"/>
        <v>0</v>
      </c>
      <c r="AG122" s="13"/>
      <c r="AH122" s="14" t="str">
        <f t="shared" si="91"/>
        <v/>
      </c>
      <c r="AI122" s="13"/>
      <c r="AJ122" s="14" t="str">
        <f t="shared" si="92"/>
        <v/>
      </c>
      <c r="AK122" s="13"/>
      <c r="AL122" s="14" t="str">
        <f t="shared" si="93"/>
        <v/>
      </c>
      <c r="AM122" s="13"/>
      <c r="AN122" s="14" t="str">
        <f t="shared" si="94"/>
        <v/>
      </c>
      <c r="AO122" s="13"/>
      <c r="AP122" s="14" t="str">
        <f t="shared" si="95"/>
        <v/>
      </c>
      <c r="AQ122" s="13"/>
      <c r="AR122" s="14">
        <f t="shared" si="96"/>
        <v>0</v>
      </c>
      <c r="AS122" s="13"/>
      <c r="AT122" s="14">
        <f t="shared" si="97"/>
        <v>0</v>
      </c>
      <c r="AU122" s="14">
        <f t="shared" si="98"/>
        <v>0</v>
      </c>
      <c r="AV122" s="13"/>
      <c r="AW122" s="14" t="str">
        <f t="shared" si="99"/>
        <v/>
      </c>
      <c r="AX122" s="13"/>
      <c r="AY122" s="14" t="str">
        <f t="shared" si="100"/>
        <v/>
      </c>
      <c r="AZ122" s="13"/>
      <c r="BA122" s="14" t="str">
        <f t="shared" si="101"/>
        <v/>
      </c>
      <c r="BB122" s="13"/>
      <c r="BC122" s="14">
        <f t="shared" si="102"/>
        <v>0</v>
      </c>
      <c r="BD122" s="14">
        <f t="shared" si="103"/>
        <v>0</v>
      </c>
      <c r="BE122" s="13"/>
      <c r="BF122" s="14" t="str">
        <f t="shared" si="104"/>
        <v/>
      </c>
      <c r="BG122" s="13"/>
      <c r="BH122" s="14" t="str">
        <f t="shared" si="105"/>
        <v/>
      </c>
      <c r="BI122" s="14">
        <f t="shared" si="106"/>
        <v>0</v>
      </c>
      <c r="BJ122" s="14">
        <f t="shared" si="107"/>
        <v>0</v>
      </c>
      <c r="BK122" s="14" t="str">
        <f t="shared" si="108"/>
        <v>LOW RISK</v>
      </c>
      <c r="BL122" s="14" t="str">
        <f t="shared" si="109"/>
        <v/>
      </c>
      <c r="BM122" s="13"/>
      <c r="BN122" s="12"/>
      <c r="BO122" s="13"/>
      <c r="BP122" s="13"/>
      <c r="BQ122" s="13"/>
      <c r="BR122" s="13"/>
      <c r="BS122" s="13"/>
      <c r="BT122" s="13"/>
      <c r="BU122" s="14" t="str">
        <f t="shared" si="110"/>
        <v/>
      </c>
      <c r="BV122" s="13"/>
      <c r="BW122" s="13"/>
      <c r="BX122" s="13"/>
      <c r="BY122" s="13"/>
      <c r="BZ122" s="13"/>
      <c r="CA122" s="13"/>
      <c r="CB122" s="13"/>
      <c r="CC122" s="14" t="str">
        <f t="shared" si="111"/>
        <v/>
      </c>
      <c r="CD122" s="13"/>
      <c r="CE122" s="13"/>
      <c r="CF122" s="12"/>
      <c r="CG122" s="13"/>
      <c r="CH122" s="13"/>
      <c r="CI122" s="13"/>
      <c r="CJ122" s="13"/>
      <c r="CK122" s="13"/>
      <c r="CL122" s="12"/>
      <c r="CM122" s="13"/>
      <c r="CN122" s="13"/>
      <c r="CO122" s="13"/>
      <c r="CP122" s="12"/>
    </row>
    <row r="123" spans="1:94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4" t="str">
        <f t="shared" si="84"/>
        <v>✓ Clear to Score</v>
      </c>
      <c r="U123" s="13"/>
      <c r="V123" s="13"/>
      <c r="W123" s="14" t="str">
        <f t="shared" si="85"/>
        <v/>
      </c>
      <c r="X123" s="13"/>
      <c r="Y123" s="14" t="str">
        <f t="shared" si="86"/>
        <v/>
      </c>
      <c r="Z123" s="13"/>
      <c r="AA123" s="14" t="str">
        <f t="shared" si="87"/>
        <v/>
      </c>
      <c r="AB123" s="13"/>
      <c r="AC123" s="14" t="str">
        <f t="shared" si="88"/>
        <v/>
      </c>
      <c r="AD123" s="13"/>
      <c r="AE123" s="14">
        <f t="shared" si="89"/>
        <v>0</v>
      </c>
      <c r="AF123" s="14">
        <f t="shared" si="90"/>
        <v>0</v>
      </c>
      <c r="AG123" s="13"/>
      <c r="AH123" s="14" t="str">
        <f t="shared" si="91"/>
        <v/>
      </c>
      <c r="AI123" s="13"/>
      <c r="AJ123" s="14" t="str">
        <f t="shared" si="92"/>
        <v/>
      </c>
      <c r="AK123" s="13"/>
      <c r="AL123" s="14" t="str">
        <f t="shared" si="93"/>
        <v/>
      </c>
      <c r="AM123" s="13"/>
      <c r="AN123" s="14" t="str">
        <f t="shared" si="94"/>
        <v/>
      </c>
      <c r="AO123" s="13"/>
      <c r="AP123" s="14" t="str">
        <f t="shared" si="95"/>
        <v/>
      </c>
      <c r="AQ123" s="13"/>
      <c r="AR123" s="14">
        <f t="shared" si="96"/>
        <v>0</v>
      </c>
      <c r="AS123" s="13"/>
      <c r="AT123" s="14">
        <f t="shared" si="97"/>
        <v>0</v>
      </c>
      <c r="AU123" s="14">
        <f t="shared" si="98"/>
        <v>0</v>
      </c>
      <c r="AV123" s="13"/>
      <c r="AW123" s="14" t="str">
        <f t="shared" si="99"/>
        <v/>
      </c>
      <c r="AX123" s="13"/>
      <c r="AY123" s="14" t="str">
        <f t="shared" si="100"/>
        <v/>
      </c>
      <c r="AZ123" s="13"/>
      <c r="BA123" s="14" t="str">
        <f t="shared" si="101"/>
        <v/>
      </c>
      <c r="BB123" s="13"/>
      <c r="BC123" s="14">
        <f t="shared" si="102"/>
        <v>0</v>
      </c>
      <c r="BD123" s="14">
        <f t="shared" si="103"/>
        <v>0</v>
      </c>
      <c r="BE123" s="13"/>
      <c r="BF123" s="14" t="str">
        <f t="shared" si="104"/>
        <v/>
      </c>
      <c r="BG123" s="13"/>
      <c r="BH123" s="14" t="str">
        <f t="shared" si="105"/>
        <v/>
      </c>
      <c r="BI123" s="14">
        <f t="shared" si="106"/>
        <v>0</v>
      </c>
      <c r="BJ123" s="14">
        <f t="shared" si="107"/>
        <v>0</v>
      </c>
      <c r="BK123" s="14" t="str">
        <f t="shared" si="108"/>
        <v>LOW RISK</v>
      </c>
      <c r="BL123" s="14" t="str">
        <f t="shared" si="109"/>
        <v/>
      </c>
      <c r="BM123" s="13"/>
      <c r="BN123" s="12"/>
      <c r="BO123" s="13"/>
      <c r="BP123" s="13"/>
      <c r="BQ123" s="13"/>
      <c r="BR123" s="13"/>
      <c r="BS123" s="13"/>
      <c r="BT123" s="13"/>
      <c r="BU123" s="14" t="str">
        <f t="shared" si="110"/>
        <v/>
      </c>
      <c r="BV123" s="13"/>
      <c r="BW123" s="13"/>
      <c r="BX123" s="13"/>
      <c r="BY123" s="13"/>
      <c r="BZ123" s="13"/>
      <c r="CA123" s="13"/>
      <c r="CB123" s="13"/>
      <c r="CC123" s="14" t="str">
        <f t="shared" si="111"/>
        <v/>
      </c>
      <c r="CD123" s="13"/>
      <c r="CE123" s="13"/>
      <c r="CF123" s="12"/>
      <c r="CG123" s="13"/>
      <c r="CH123" s="13"/>
      <c r="CI123" s="13"/>
      <c r="CJ123" s="13"/>
      <c r="CK123" s="13"/>
      <c r="CL123" s="12"/>
      <c r="CM123" s="13"/>
      <c r="CN123" s="13"/>
      <c r="CO123" s="13"/>
      <c r="CP123" s="12"/>
    </row>
    <row r="124" spans="1:94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4" t="str">
        <f t="shared" si="84"/>
        <v>✓ Clear to Score</v>
      </c>
      <c r="U124" s="13"/>
      <c r="V124" s="13"/>
      <c r="W124" s="14" t="str">
        <f t="shared" si="85"/>
        <v/>
      </c>
      <c r="X124" s="13"/>
      <c r="Y124" s="14" t="str">
        <f t="shared" si="86"/>
        <v/>
      </c>
      <c r="Z124" s="13"/>
      <c r="AA124" s="14" t="str">
        <f t="shared" si="87"/>
        <v/>
      </c>
      <c r="AB124" s="13"/>
      <c r="AC124" s="14" t="str">
        <f t="shared" si="88"/>
        <v/>
      </c>
      <c r="AD124" s="13"/>
      <c r="AE124" s="14">
        <f t="shared" si="89"/>
        <v>0</v>
      </c>
      <c r="AF124" s="14">
        <f t="shared" si="90"/>
        <v>0</v>
      </c>
      <c r="AG124" s="13"/>
      <c r="AH124" s="14" t="str">
        <f t="shared" si="91"/>
        <v/>
      </c>
      <c r="AI124" s="13"/>
      <c r="AJ124" s="14" t="str">
        <f t="shared" si="92"/>
        <v/>
      </c>
      <c r="AK124" s="13"/>
      <c r="AL124" s="14" t="str">
        <f t="shared" si="93"/>
        <v/>
      </c>
      <c r="AM124" s="13"/>
      <c r="AN124" s="14" t="str">
        <f t="shared" si="94"/>
        <v/>
      </c>
      <c r="AO124" s="13"/>
      <c r="AP124" s="14" t="str">
        <f t="shared" si="95"/>
        <v/>
      </c>
      <c r="AQ124" s="13"/>
      <c r="AR124" s="14">
        <f t="shared" si="96"/>
        <v>0</v>
      </c>
      <c r="AS124" s="13"/>
      <c r="AT124" s="14">
        <f t="shared" si="97"/>
        <v>0</v>
      </c>
      <c r="AU124" s="14">
        <f t="shared" si="98"/>
        <v>0</v>
      </c>
      <c r="AV124" s="13"/>
      <c r="AW124" s="14" t="str">
        <f t="shared" si="99"/>
        <v/>
      </c>
      <c r="AX124" s="13"/>
      <c r="AY124" s="14" t="str">
        <f t="shared" si="100"/>
        <v/>
      </c>
      <c r="AZ124" s="13"/>
      <c r="BA124" s="14" t="str">
        <f t="shared" si="101"/>
        <v/>
      </c>
      <c r="BB124" s="13"/>
      <c r="BC124" s="14">
        <f t="shared" si="102"/>
        <v>0</v>
      </c>
      <c r="BD124" s="14">
        <f t="shared" si="103"/>
        <v>0</v>
      </c>
      <c r="BE124" s="13"/>
      <c r="BF124" s="14" t="str">
        <f t="shared" si="104"/>
        <v/>
      </c>
      <c r="BG124" s="13"/>
      <c r="BH124" s="14" t="str">
        <f t="shared" si="105"/>
        <v/>
      </c>
      <c r="BI124" s="14">
        <f t="shared" si="106"/>
        <v>0</v>
      </c>
      <c r="BJ124" s="14">
        <f t="shared" si="107"/>
        <v>0</v>
      </c>
      <c r="BK124" s="14" t="str">
        <f t="shared" si="108"/>
        <v>LOW RISK</v>
      </c>
      <c r="BL124" s="14" t="str">
        <f t="shared" si="109"/>
        <v/>
      </c>
      <c r="BM124" s="13"/>
      <c r="BN124" s="12"/>
      <c r="BO124" s="13"/>
      <c r="BP124" s="13"/>
      <c r="BQ124" s="13"/>
      <c r="BR124" s="13"/>
      <c r="BS124" s="13"/>
      <c r="BT124" s="13"/>
      <c r="BU124" s="14" t="str">
        <f t="shared" si="110"/>
        <v/>
      </c>
      <c r="BV124" s="13"/>
      <c r="BW124" s="13"/>
      <c r="BX124" s="13"/>
      <c r="BY124" s="13"/>
      <c r="BZ124" s="13"/>
      <c r="CA124" s="13"/>
      <c r="CB124" s="13"/>
      <c r="CC124" s="14" t="str">
        <f t="shared" si="111"/>
        <v/>
      </c>
      <c r="CD124" s="13"/>
      <c r="CE124" s="13"/>
      <c r="CF124" s="12"/>
      <c r="CG124" s="13"/>
      <c r="CH124" s="13"/>
      <c r="CI124" s="13"/>
      <c r="CJ124" s="13"/>
      <c r="CK124" s="13"/>
      <c r="CL124" s="12"/>
      <c r="CM124" s="13"/>
      <c r="CN124" s="13"/>
      <c r="CO124" s="13"/>
      <c r="CP124" s="12"/>
    </row>
    <row r="125" spans="1:94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4" t="str">
        <f t="shared" si="84"/>
        <v>✓ Clear to Score</v>
      </c>
      <c r="U125" s="13"/>
      <c r="V125" s="13"/>
      <c r="W125" s="14" t="str">
        <f t="shared" si="85"/>
        <v/>
      </c>
      <c r="X125" s="13"/>
      <c r="Y125" s="14" t="str">
        <f t="shared" si="86"/>
        <v/>
      </c>
      <c r="Z125" s="13"/>
      <c r="AA125" s="14" t="str">
        <f t="shared" si="87"/>
        <v/>
      </c>
      <c r="AB125" s="13"/>
      <c r="AC125" s="14" t="str">
        <f t="shared" si="88"/>
        <v/>
      </c>
      <c r="AD125" s="13"/>
      <c r="AE125" s="14">
        <f t="shared" si="89"/>
        <v>0</v>
      </c>
      <c r="AF125" s="14">
        <f t="shared" si="90"/>
        <v>0</v>
      </c>
      <c r="AG125" s="13"/>
      <c r="AH125" s="14" t="str">
        <f t="shared" si="91"/>
        <v/>
      </c>
      <c r="AI125" s="13"/>
      <c r="AJ125" s="14" t="str">
        <f t="shared" si="92"/>
        <v/>
      </c>
      <c r="AK125" s="13"/>
      <c r="AL125" s="14" t="str">
        <f t="shared" si="93"/>
        <v/>
      </c>
      <c r="AM125" s="13"/>
      <c r="AN125" s="14" t="str">
        <f t="shared" si="94"/>
        <v/>
      </c>
      <c r="AO125" s="13"/>
      <c r="AP125" s="14" t="str">
        <f t="shared" si="95"/>
        <v/>
      </c>
      <c r="AQ125" s="13"/>
      <c r="AR125" s="14">
        <f t="shared" si="96"/>
        <v>0</v>
      </c>
      <c r="AS125" s="13"/>
      <c r="AT125" s="14">
        <f t="shared" si="97"/>
        <v>0</v>
      </c>
      <c r="AU125" s="14">
        <f t="shared" si="98"/>
        <v>0</v>
      </c>
      <c r="AV125" s="13"/>
      <c r="AW125" s="14" t="str">
        <f t="shared" si="99"/>
        <v/>
      </c>
      <c r="AX125" s="13"/>
      <c r="AY125" s="14" t="str">
        <f t="shared" si="100"/>
        <v/>
      </c>
      <c r="AZ125" s="13"/>
      <c r="BA125" s="14" t="str">
        <f t="shared" si="101"/>
        <v/>
      </c>
      <c r="BB125" s="13"/>
      <c r="BC125" s="14">
        <f t="shared" si="102"/>
        <v>0</v>
      </c>
      <c r="BD125" s="14">
        <f t="shared" si="103"/>
        <v>0</v>
      </c>
      <c r="BE125" s="13"/>
      <c r="BF125" s="14" t="str">
        <f t="shared" si="104"/>
        <v/>
      </c>
      <c r="BG125" s="13"/>
      <c r="BH125" s="14" t="str">
        <f t="shared" si="105"/>
        <v/>
      </c>
      <c r="BI125" s="14">
        <f t="shared" si="106"/>
        <v>0</v>
      </c>
      <c r="BJ125" s="14">
        <f t="shared" si="107"/>
        <v>0</v>
      </c>
      <c r="BK125" s="14" t="str">
        <f t="shared" si="108"/>
        <v>LOW RISK</v>
      </c>
      <c r="BL125" s="14" t="str">
        <f t="shared" si="109"/>
        <v/>
      </c>
      <c r="BM125" s="13"/>
      <c r="BN125" s="12"/>
      <c r="BO125" s="13"/>
      <c r="BP125" s="13"/>
      <c r="BQ125" s="13"/>
      <c r="BR125" s="13"/>
      <c r="BS125" s="13"/>
      <c r="BT125" s="13"/>
      <c r="BU125" s="14" t="str">
        <f t="shared" si="110"/>
        <v/>
      </c>
      <c r="BV125" s="13"/>
      <c r="BW125" s="13"/>
      <c r="BX125" s="13"/>
      <c r="BY125" s="13"/>
      <c r="BZ125" s="13"/>
      <c r="CA125" s="13"/>
      <c r="CB125" s="13"/>
      <c r="CC125" s="14" t="str">
        <f t="shared" si="111"/>
        <v/>
      </c>
      <c r="CD125" s="13"/>
      <c r="CE125" s="13"/>
      <c r="CF125" s="12"/>
      <c r="CG125" s="13"/>
      <c r="CH125" s="13"/>
      <c r="CI125" s="13"/>
      <c r="CJ125" s="13"/>
      <c r="CK125" s="13"/>
      <c r="CL125" s="12"/>
      <c r="CM125" s="13"/>
      <c r="CN125" s="13"/>
      <c r="CO125" s="13"/>
      <c r="CP125" s="12"/>
    </row>
    <row r="126" spans="1:94" x14ac:dyDescent="0.2">
      <c r="A126" s="12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4" t="str">
        <f t="shared" si="84"/>
        <v>✓ Clear to Score</v>
      </c>
      <c r="U126" s="13"/>
      <c r="V126" s="13"/>
      <c r="W126" s="14" t="str">
        <f t="shared" si="85"/>
        <v/>
      </c>
      <c r="X126" s="13"/>
      <c r="Y126" s="14" t="str">
        <f t="shared" si="86"/>
        <v/>
      </c>
      <c r="Z126" s="13"/>
      <c r="AA126" s="14" t="str">
        <f t="shared" si="87"/>
        <v/>
      </c>
      <c r="AB126" s="13"/>
      <c r="AC126" s="14" t="str">
        <f t="shared" si="88"/>
        <v/>
      </c>
      <c r="AD126" s="13"/>
      <c r="AE126" s="14">
        <f t="shared" si="89"/>
        <v>0</v>
      </c>
      <c r="AF126" s="14">
        <f t="shared" si="90"/>
        <v>0</v>
      </c>
      <c r="AG126" s="13"/>
      <c r="AH126" s="14" t="str">
        <f t="shared" si="91"/>
        <v/>
      </c>
      <c r="AI126" s="13"/>
      <c r="AJ126" s="14" t="str">
        <f t="shared" si="92"/>
        <v/>
      </c>
      <c r="AK126" s="13"/>
      <c r="AL126" s="14" t="str">
        <f t="shared" si="93"/>
        <v/>
      </c>
      <c r="AM126" s="13"/>
      <c r="AN126" s="14" t="str">
        <f t="shared" si="94"/>
        <v/>
      </c>
      <c r="AO126" s="13"/>
      <c r="AP126" s="14" t="str">
        <f t="shared" si="95"/>
        <v/>
      </c>
      <c r="AQ126" s="13"/>
      <c r="AR126" s="14">
        <f t="shared" si="96"/>
        <v>0</v>
      </c>
      <c r="AS126" s="13"/>
      <c r="AT126" s="14">
        <f t="shared" si="97"/>
        <v>0</v>
      </c>
      <c r="AU126" s="14">
        <f t="shared" si="98"/>
        <v>0</v>
      </c>
      <c r="AV126" s="13"/>
      <c r="AW126" s="14" t="str">
        <f t="shared" si="99"/>
        <v/>
      </c>
      <c r="AX126" s="13"/>
      <c r="AY126" s="14" t="str">
        <f t="shared" si="100"/>
        <v/>
      </c>
      <c r="AZ126" s="13"/>
      <c r="BA126" s="14" t="str">
        <f t="shared" si="101"/>
        <v/>
      </c>
      <c r="BB126" s="13"/>
      <c r="BC126" s="14">
        <f t="shared" si="102"/>
        <v>0</v>
      </c>
      <c r="BD126" s="14">
        <f t="shared" si="103"/>
        <v>0</v>
      </c>
      <c r="BE126" s="13"/>
      <c r="BF126" s="14" t="str">
        <f t="shared" si="104"/>
        <v/>
      </c>
      <c r="BG126" s="13"/>
      <c r="BH126" s="14" t="str">
        <f t="shared" si="105"/>
        <v/>
      </c>
      <c r="BI126" s="14">
        <f t="shared" si="106"/>
        <v>0</v>
      </c>
      <c r="BJ126" s="14">
        <f t="shared" si="107"/>
        <v>0</v>
      </c>
      <c r="BK126" s="14" t="str">
        <f t="shared" si="108"/>
        <v>LOW RISK</v>
      </c>
      <c r="BL126" s="14" t="str">
        <f t="shared" si="109"/>
        <v/>
      </c>
      <c r="BM126" s="13"/>
      <c r="BN126" s="12"/>
      <c r="BO126" s="13"/>
      <c r="BP126" s="13"/>
      <c r="BQ126" s="13"/>
      <c r="BR126" s="13"/>
      <c r="BS126" s="13"/>
      <c r="BT126" s="13"/>
      <c r="BU126" s="14" t="str">
        <f t="shared" si="110"/>
        <v/>
      </c>
      <c r="BV126" s="13"/>
      <c r="BW126" s="13"/>
      <c r="BX126" s="13"/>
      <c r="BY126" s="13"/>
      <c r="BZ126" s="13"/>
      <c r="CA126" s="13"/>
      <c r="CB126" s="13"/>
      <c r="CC126" s="14" t="str">
        <f t="shared" si="111"/>
        <v/>
      </c>
      <c r="CD126" s="13"/>
      <c r="CE126" s="13"/>
      <c r="CF126" s="12"/>
      <c r="CG126" s="13"/>
      <c r="CH126" s="13"/>
      <c r="CI126" s="13"/>
      <c r="CJ126" s="13"/>
      <c r="CK126" s="13"/>
      <c r="CL126" s="12"/>
      <c r="CM126" s="13"/>
      <c r="CN126" s="13"/>
      <c r="CO126" s="13"/>
      <c r="CP126" s="12"/>
    </row>
    <row r="127" spans="1:94" x14ac:dyDescent="0.2">
      <c r="A127" s="12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4" t="str">
        <f t="shared" si="84"/>
        <v>✓ Clear to Score</v>
      </c>
      <c r="U127" s="13"/>
      <c r="V127" s="13"/>
      <c r="W127" s="14" t="str">
        <f t="shared" si="85"/>
        <v/>
      </c>
      <c r="X127" s="13"/>
      <c r="Y127" s="14" t="str">
        <f t="shared" si="86"/>
        <v/>
      </c>
      <c r="Z127" s="13"/>
      <c r="AA127" s="14" t="str">
        <f t="shared" si="87"/>
        <v/>
      </c>
      <c r="AB127" s="13"/>
      <c r="AC127" s="14" t="str">
        <f t="shared" si="88"/>
        <v/>
      </c>
      <c r="AD127" s="13"/>
      <c r="AE127" s="14">
        <f t="shared" si="89"/>
        <v>0</v>
      </c>
      <c r="AF127" s="14">
        <f t="shared" si="90"/>
        <v>0</v>
      </c>
      <c r="AG127" s="13"/>
      <c r="AH127" s="14" t="str">
        <f t="shared" si="91"/>
        <v/>
      </c>
      <c r="AI127" s="13"/>
      <c r="AJ127" s="14" t="str">
        <f t="shared" si="92"/>
        <v/>
      </c>
      <c r="AK127" s="13"/>
      <c r="AL127" s="14" t="str">
        <f t="shared" si="93"/>
        <v/>
      </c>
      <c r="AM127" s="13"/>
      <c r="AN127" s="14" t="str">
        <f t="shared" si="94"/>
        <v/>
      </c>
      <c r="AO127" s="13"/>
      <c r="AP127" s="14" t="str">
        <f t="shared" si="95"/>
        <v/>
      </c>
      <c r="AQ127" s="13"/>
      <c r="AR127" s="14">
        <f t="shared" si="96"/>
        <v>0</v>
      </c>
      <c r="AS127" s="13"/>
      <c r="AT127" s="14">
        <f t="shared" si="97"/>
        <v>0</v>
      </c>
      <c r="AU127" s="14">
        <f t="shared" si="98"/>
        <v>0</v>
      </c>
      <c r="AV127" s="13"/>
      <c r="AW127" s="14" t="str">
        <f t="shared" si="99"/>
        <v/>
      </c>
      <c r="AX127" s="13"/>
      <c r="AY127" s="14" t="str">
        <f t="shared" si="100"/>
        <v/>
      </c>
      <c r="AZ127" s="13"/>
      <c r="BA127" s="14" t="str">
        <f t="shared" si="101"/>
        <v/>
      </c>
      <c r="BB127" s="13"/>
      <c r="BC127" s="14">
        <f t="shared" si="102"/>
        <v>0</v>
      </c>
      <c r="BD127" s="14">
        <f t="shared" si="103"/>
        <v>0</v>
      </c>
      <c r="BE127" s="13"/>
      <c r="BF127" s="14" t="str">
        <f t="shared" si="104"/>
        <v/>
      </c>
      <c r="BG127" s="13"/>
      <c r="BH127" s="14" t="str">
        <f t="shared" si="105"/>
        <v/>
      </c>
      <c r="BI127" s="14">
        <f t="shared" si="106"/>
        <v>0</v>
      </c>
      <c r="BJ127" s="14">
        <f t="shared" si="107"/>
        <v>0</v>
      </c>
      <c r="BK127" s="14" t="str">
        <f t="shared" si="108"/>
        <v>LOW RISK</v>
      </c>
      <c r="BL127" s="14" t="str">
        <f t="shared" si="109"/>
        <v/>
      </c>
      <c r="BM127" s="13"/>
      <c r="BN127" s="12"/>
      <c r="BO127" s="13"/>
      <c r="BP127" s="13"/>
      <c r="BQ127" s="13"/>
      <c r="BR127" s="13"/>
      <c r="BS127" s="13"/>
      <c r="BT127" s="13"/>
      <c r="BU127" s="14" t="str">
        <f t="shared" si="110"/>
        <v/>
      </c>
      <c r="BV127" s="13"/>
      <c r="BW127" s="13"/>
      <c r="BX127" s="13"/>
      <c r="BY127" s="13"/>
      <c r="BZ127" s="13"/>
      <c r="CA127" s="13"/>
      <c r="CB127" s="13"/>
      <c r="CC127" s="14" t="str">
        <f t="shared" si="111"/>
        <v/>
      </c>
      <c r="CD127" s="13"/>
      <c r="CE127" s="13"/>
      <c r="CF127" s="12"/>
      <c r="CG127" s="13"/>
      <c r="CH127" s="13"/>
      <c r="CI127" s="13"/>
      <c r="CJ127" s="13"/>
      <c r="CK127" s="13"/>
      <c r="CL127" s="12"/>
      <c r="CM127" s="13"/>
      <c r="CN127" s="13"/>
      <c r="CO127" s="13"/>
      <c r="CP127" s="12"/>
    </row>
    <row r="128" spans="1:94" x14ac:dyDescent="0.2">
      <c r="A128" s="12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4" t="str">
        <f t="shared" si="84"/>
        <v>✓ Clear to Score</v>
      </c>
      <c r="U128" s="13"/>
      <c r="V128" s="13"/>
      <c r="W128" s="14" t="str">
        <f t="shared" si="85"/>
        <v/>
      </c>
      <c r="X128" s="13"/>
      <c r="Y128" s="14" t="str">
        <f t="shared" si="86"/>
        <v/>
      </c>
      <c r="Z128" s="13"/>
      <c r="AA128" s="14" t="str">
        <f t="shared" si="87"/>
        <v/>
      </c>
      <c r="AB128" s="13"/>
      <c r="AC128" s="14" t="str">
        <f t="shared" si="88"/>
        <v/>
      </c>
      <c r="AD128" s="13"/>
      <c r="AE128" s="14">
        <f t="shared" si="89"/>
        <v>0</v>
      </c>
      <c r="AF128" s="14">
        <f t="shared" si="90"/>
        <v>0</v>
      </c>
      <c r="AG128" s="13"/>
      <c r="AH128" s="14" t="str">
        <f t="shared" si="91"/>
        <v/>
      </c>
      <c r="AI128" s="13"/>
      <c r="AJ128" s="14" t="str">
        <f t="shared" si="92"/>
        <v/>
      </c>
      <c r="AK128" s="13"/>
      <c r="AL128" s="14" t="str">
        <f t="shared" si="93"/>
        <v/>
      </c>
      <c r="AM128" s="13"/>
      <c r="AN128" s="14" t="str">
        <f t="shared" si="94"/>
        <v/>
      </c>
      <c r="AO128" s="13"/>
      <c r="AP128" s="14" t="str">
        <f t="shared" si="95"/>
        <v/>
      </c>
      <c r="AQ128" s="13"/>
      <c r="AR128" s="14">
        <f t="shared" si="96"/>
        <v>0</v>
      </c>
      <c r="AS128" s="13"/>
      <c r="AT128" s="14">
        <f t="shared" si="97"/>
        <v>0</v>
      </c>
      <c r="AU128" s="14">
        <f t="shared" si="98"/>
        <v>0</v>
      </c>
      <c r="AV128" s="13"/>
      <c r="AW128" s="14" t="str">
        <f t="shared" si="99"/>
        <v/>
      </c>
      <c r="AX128" s="13"/>
      <c r="AY128" s="14" t="str">
        <f t="shared" si="100"/>
        <v/>
      </c>
      <c r="AZ128" s="13"/>
      <c r="BA128" s="14" t="str">
        <f t="shared" si="101"/>
        <v/>
      </c>
      <c r="BB128" s="13"/>
      <c r="BC128" s="14">
        <f t="shared" si="102"/>
        <v>0</v>
      </c>
      <c r="BD128" s="14">
        <f t="shared" si="103"/>
        <v>0</v>
      </c>
      <c r="BE128" s="13"/>
      <c r="BF128" s="14" t="str">
        <f t="shared" si="104"/>
        <v/>
      </c>
      <c r="BG128" s="13"/>
      <c r="BH128" s="14" t="str">
        <f t="shared" si="105"/>
        <v/>
      </c>
      <c r="BI128" s="14">
        <f t="shared" si="106"/>
        <v>0</v>
      </c>
      <c r="BJ128" s="14">
        <f t="shared" si="107"/>
        <v>0</v>
      </c>
      <c r="BK128" s="14" t="str">
        <f t="shared" si="108"/>
        <v>LOW RISK</v>
      </c>
      <c r="BL128" s="14" t="str">
        <f t="shared" si="109"/>
        <v/>
      </c>
      <c r="BM128" s="13"/>
      <c r="BN128" s="12"/>
      <c r="BO128" s="13"/>
      <c r="BP128" s="13"/>
      <c r="BQ128" s="13"/>
      <c r="BR128" s="13"/>
      <c r="BS128" s="13"/>
      <c r="BT128" s="13"/>
      <c r="BU128" s="14" t="str">
        <f t="shared" si="110"/>
        <v/>
      </c>
      <c r="BV128" s="13"/>
      <c r="BW128" s="13"/>
      <c r="BX128" s="13"/>
      <c r="BY128" s="13"/>
      <c r="BZ128" s="13"/>
      <c r="CA128" s="13"/>
      <c r="CB128" s="13"/>
      <c r="CC128" s="14" t="str">
        <f t="shared" si="111"/>
        <v/>
      </c>
      <c r="CD128" s="13"/>
      <c r="CE128" s="13"/>
      <c r="CF128" s="12"/>
      <c r="CG128" s="13"/>
      <c r="CH128" s="13"/>
      <c r="CI128" s="13"/>
      <c r="CJ128" s="13"/>
      <c r="CK128" s="13"/>
      <c r="CL128" s="12"/>
      <c r="CM128" s="13"/>
      <c r="CN128" s="13"/>
      <c r="CO128" s="13"/>
      <c r="CP128" s="12"/>
    </row>
    <row r="129" spans="1:94" x14ac:dyDescent="0.2">
      <c r="A129" s="12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4" t="str">
        <f t="shared" si="84"/>
        <v>✓ Clear to Score</v>
      </c>
      <c r="U129" s="13"/>
      <c r="V129" s="13"/>
      <c r="W129" s="14" t="str">
        <f t="shared" si="85"/>
        <v/>
      </c>
      <c r="X129" s="13"/>
      <c r="Y129" s="14" t="str">
        <f t="shared" si="86"/>
        <v/>
      </c>
      <c r="Z129" s="13"/>
      <c r="AA129" s="14" t="str">
        <f t="shared" si="87"/>
        <v/>
      </c>
      <c r="AB129" s="13"/>
      <c r="AC129" s="14" t="str">
        <f t="shared" si="88"/>
        <v/>
      </c>
      <c r="AD129" s="13"/>
      <c r="AE129" s="14">
        <f t="shared" si="89"/>
        <v>0</v>
      </c>
      <c r="AF129" s="14">
        <f t="shared" si="90"/>
        <v>0</v>
      </c>
      <c r="AG129" s="13"/>
      <c r="AH129" s="14" t="str">
        <f t="shared" si="91"/>
        <v/>
      </c>
      <c r="AI129" s="13"/>
      <c r="AJ129" s="14" t="str">
        <f t="shared" si="92"/>
        <v/>
      </c>
      <c r="AK129" s="13"/>
      <c r="AL129" s="14" t="str">
        <f t="shared" si="93"/>
        <v/>
      </c>
      <c r="AM129" s="13"/>
      <c r="AN129" s="14" t="str">
        <f t="shared" si="94"/>
        <v/>
      </c>
      <c r="AO129" s="13"/>
      <c r="AP129" s="14" t="str">
        <f t="shared" si="95"/>
        <v/>
      </c>
      <c r="AQ129" s="13"/>
      <c r="AR129" s="14">
        <f t="shared" si="96"/>
        <v>0</v>
      </c>
      <c r="AS129" s="13"/>
      <c r="AT129" s="14">
        <f t="shared" si="97"/>
        <v>0</v>
      </c>
      <c r="AU129" s="14">
        <f t="shared" si="98"/>
        <v>0</v>
      </c>
      <c r="AV129" s="13"/>
      <c r="AW129" s="14" t="str">
        <f t="shared" si="99"/>
        <v/>
      </c>
      <c r="AX129" s="13"/>
      <c r="AY129" s="14" t="str">
        <f t="shared" si="100"/>
        <v/>
      </c>
      <c r="AZ129" s="13"/>
      <c r="BA129" s="14" t="str">
        <f t="shared" si="101"/>
        <v/>
      </c>
      <c r="BB129" s="13"/>
      <c r="BC129" s="14">
        <f t="shared" si="102"/>
        <v>0</v>
      </c>
      <c r="BD129" s="14">
        <f t="shared" si="103"/>
        <v>0</v>
      </c>
      <c r="BE129" s="13"/>
      <c r="BF129" s="14" t="str">
        <f t="shared" si="104"/>
        <v/>
      </c>
      <c r="BG129" s="13"/>
      <c r="BH129" s="14" t="str">
        <f t="shared" si="105"/>
        <v/>
      </c>
      <c r="BI129" s="14">
        <f t="shared" si="106"/>
        <v>0</v>
      </c>
      <c r="BJ129" s="14">
        <f t="shared" si="107"/>
        <v>0</v>
      </c>
      <c r="BK129" s="14" t="str">
        <f t="shared" si="108"/>
        <v>LOW RISK</v>
      </c>
      <c r="BL129" s="14" t="str">
        <f t="shared" si="109"/>
        <v/>
      </c>
      <c r="BM129" s="13"/>
      <c r="BN129" s="12"/>
      <c r="BO129" s="13"/>
      <c r="BP129" s="13"/>
      <c r="BQ129" s="13"/>
      <c r="BR129" s="13"/>
      <c r="BS129" s="13"/>
      <c r="BT129" s="13"/>
      <c r="BU129" s="14" t="str">
        <f t="shared" si="110"/>
        <v/>
      </c>
      <c r="BV129" s="13"/>
      <c r="BW129" s="13"/>
      <c r="BX129" s="13"/>
      <c r="BY129" s="13"/>
      <c r="BZ129" s="13"/>
      <c r="CA129" s="13"/>
      <c r="CB129" s="13"/>
      <c r="CC129" s="14" t="str">
        <f t="shared" si="111"/>
        <v/>
      </c>
      <c r="CD129" s="13"/>
      <c r="CE129" s="13"/>
      <c r="CF129" s="12"/>
      <c r="CG129" s="13"/>
      <c r="CH129" s="13"/>
      <c r="CI129" s="13"/>
      <c r="CJ129" s="13"/>
      <c r="CK129" s="13"/>
      <c r="CL129" s="12"/>
      <c r="CM129" s="13"/>
      <c r="CN129" s="13"/>
      <c r="CO129" s="13"/>
      <c r="CP129" s="12"/>
    </row>
    <row r="130" spans="1:94" x14ac:dyDescent="0.2">
      <c r="A130" s="12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4" t="str">
        <f t="shared" si="84"/>
        <v>✓ Clear to Score</v>
      </c>
      <c r="U130" s="13"/>
      <c r="V130" s="13"/>
      <c r="W130" s="14" t="str">
        <f t="shared" si="85"/>
        <v/>
      </c>
      <c r="X130" s="13"/>
      <c r="Y130" s="14" t="str">
        <f t="shared" si="86"/>
        <v/>
      </c>
      <c r="Z130" s="13"/>
      <c r="AA130" s="14" t="str">
        <f t="shared" si="87"/>
        <v/>
      </c>
      <c r="AB130" s="13"/>
      <c r="AC130" s="14" t="str">
        <f t="shared" si="88"/>
        <v/>
      </c>
      <c r="AD130" s="13"/>
      <c r="AE130" s="14">
        <f t="shared" si="89"/>
        <v>0</v>
      </c>
      <c r="AF130" s="14">
        <f t="shared" si="90"/>
        <v>0</v>
      </c>
      <c r="AG130" s="13"/>
      <c r="AH130" s="14" t="str">
        <f t="shared" si="91"/>
        <v/>
      </c>
      <c r="AI130" s="13"/>
      <c r="AJ130" s="14" t="str">
        <f t="shared" si="92"/>
        <v/>
      </c>
      <c r="AK130" s="13"/>
      <c r="AL130" s="14" t="str">
        <f t="shared" si="93"/>
        <v/>
      </c>
      <c r="AM130" s="13"/>
      <c r="AN130" s="14" t="str">
        <f t="shared" si="94"/>
        <v/>
      </c>
      <c r="AO130" s="13"/>
      <c r="AP130" s="14" t="str">
        <f t="shared" si="95"/>
        <v/>
      </c>
      <c r="AQ130" s="13"/>
      <c r="AR130" s="14">
        <f t="shared" si="96"/>
        <v>0</v>
      </c>
      <c r="AS130" s="13"/>
      <c r="AT130" s="14">
        <f t="shared" si="97"/>
        <v>0</v>
      </c>
      <c r="AU130" s="14">
        <f t="shared" si="98"/>
        <v>0</v>
      </c>
      <c r="AV130" s="13"/>
      <c r="AW130" s="14" t="str">
        <f t="shared" si="99"/>
        <v/>
      </c>
      <c r="AX130" s="13"/>
      <c r="AY130" s="14" t="str">
        <f t="shared" si="100"/>
        <v/>
      </c>
      <c r="AZ130" s="13"/>
      <c r="BA130" s="14" t="str">
        <f t="shared" si="101"/>
        <v/>
      </c>
      <c r="BB130" s="13"/>
      <c r="BC130" s="14">
        <f t="shared" si="102"/>
        <v>0</v>
      </c>
      <c r="BD130" s="14">
        <f t="shared" si="103"/>
        <v>0</v>
      </c>
      <c r="BE130" s="13"/>
      <c r="BF130" s="14" t="str">
        <f t="shared" si="104"/>
        <v/>
      </c>
      <c r="BG130" s="13"/>
      <c r="BH130" s="14" t="str">
        <f t="shared" si="105"/>
        <v/>
      </c>
      <c r="BI130" s="14">
        <f t="shared" si="106"/>
        <v>0</v>
      </c>
      <c r="BJ130" s="14">
        <f t="shared" si="107"/>
        <v>0</v>
      </c>
      <c r="BK130" s="14" t="str">
        <f t="shared" si="108"/>
        <v>LOW RISK</v>
      </c>
      <c r="BL130" s="14" t="str">
        <f t="shared" si="109"/>
        <v/>
      </c>
      <c r="BM130" s="13"/>
      <c r="BN130" s="12"/>
      <c r="BO130" s="13"/>
      <c r="BP130" s="13"/>
      <c r="BQ130" s="13"/>
      <c r="BR130" s="13"/>
      <c r="BS130" s="13"/>
      <c r="BT130" s="13"/>
      <c r="BU130" s="14" t="str">
        <f t="shared" si="110"/>
        <v/>
      </c>
      <c r="BV130" s="13"/>
      <c r="BW130" s="13"/>
      <c r="BX130" s="13"/>
      <c r="BY130" s="13"/>
      <c r="BZ130" s="13"/>
      <c r="CA130" s="13"/>
      <c r="CB130" s="13"/>
      <c r="CC130" s="14" t="str">
        <f t="shared" si="111"/>
        <v/>
      </c>
      <c r="CD130" s="13"/>
      <c r="CE130" s="13"/>
      <c r="CF130" s="12"/>
      <c r="CG130" s="13"/>
      <c r="CH130" s="13"/>
      <c r="CI130" s="13"/>
      <c r="CJ130" s="13"/>
      <c r="CK130" s="13"/>
      <c r="CL130" s="12"/>
      <c r="CM130" s="13"/>
      <c r="CN130" s="13"/>
      <c r="CO130" s="13"/>
      <c r="CP130" s="12"/>
    </row>
    <row r="131" spans="1:94" x14ac:dyDescent="0.2">
      <c r="A131" s="12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4" t="str">
        <f t="shared" ref="T131:T162" si="112">IF(COUNTIF(K131:S131,"Y")&gt;0,"STOP — ABS CI PRESENT","✓ Clear to Score")</f>
        <v>✓ Clear to Score</v>
      </c>
      <c r="U131" s="13"/>
      <c r="V131" s="13"/>
      <c r="W131" s="14" t="str">
        <f t="shared" ref="W131:W162" si="113">IFERROR(IF(V131="","",IF(V131="≥3.5 g/dL",0,IF(V131="3.0-3.49 g/dL",1,IF(V131="2.5-2.99 g/dL",3,0)))),"")</f>
        <v/>
      </c>
      <c r="X131" s="13"/>
      <c r="Y131" s="14" t="str">
        <f t="shared" ref="Y131:Y162" si="114">IFERROR(IF(X131="","",IF(X131="≥18 mg/dL",0,IF(X131="12-17.9 mg/dL",1,2))),"")</f>
        <v/>
      </c>
      <c r="Z131" s="13"/>
      <c r="AA131" s="14" t="str">
        <f t="shared" ref="AA131:AA162" si="115">IFERROR(IF(Z131="","",IF(ISNUMBER(SEARCH("Normal",Z131)),0,IF(ISNUMBER(SEARCH("Borderline",Z131)),1,3))),"")</f>
        <v/>
      </c>
      <c r="AB131" s="13"/>
      <c r="AC131" s="14" t="str">
        <f t="shared" ref="AC131:AC162" si="116">IFERROR(IF(U131="N",0,IF(AB131="","",IF(AB131="0.5-2.0 ng/mL",1,0))),"")</f>
        <v/>
      </c>
      <c r="AD131" s="13"/>
      <c r="AE131" s="14">
        <f t="shared" ref="AE131:AE162" si="117">IFERROR(IF(U131="N",0,IF(AD131="Y",1,0)),"")</f>
        <v>0</v>
      </c>
      <c r="AF131" s="14">
        <f t="shared" ref="AF131:AF162" si="118">IFERROR(SUM(W131,Y131,AA131,AC131,AE131),"")</f>
        <v>0</v>
      </c>
      <c r="AG131" s="13"/>
      <c r="AH131" s="14" t="str">
        <f t="shared" ref="AH131:AH162" si="119">IFERROR(IF(AG131="","",IF(AG131="Ischial",3,IF(AG131="Multiple Sites",1,0))),"")</f>
        <v/>
      </c>
      <c r="AI131" s="13"/>
      <c r="AJ131" s="14" t="str">
        <f t="shared" ref="AJ131:AJ162" si="120">IFERROR(IF(AI131="","",IF(AI131="&lt;50 cm²",0,IF(AI131="50-100 cm²",1,2))),"")</f>
        <v/>
      </c>
      <c r="AK131" s="13"/>
      <c r="AL131" s="14" t="str">
        <f t="shared" ref="AL131:AL162" si="121">IFERROR(IF(AK131="","",IF(AK131="None",0,IF(AK131="Chronic (&gt;4wk + sequestrum/sinus)",1,3))),"")</f>
        <v/>
      </c>
      <c r="AM131" s="13"/>
      <c r="AN131" s="14" t="str">
        <f t="shared" ref="AN131:AN162" si="122">IFERROR(IF(AM131="","",IF(AM131="None",0,IF(AM131="1 prior flap",2,3))),"")</f>
        <v/>
      </c>
      <c r="AO131" s="13"/>
      <c r="AP131" s="14" t="str">
        <f t="shared" ref="AP131:AP162" si="123">IFERROR(IF(AO131="","",IF(AO131="None",0,IF(AO131="Intermittent (not daily)",1,2))),"")</f>
        <v/>
      </c>
      <c r="AQ131" s="13"/>
      <c r="AR131" s="14">
        <f t="shared" ref="AR131:AR162" si="124">IFERROR(IF(OR(AG131="Lower Extremity",AG131="Multiple Sites"),IF(AQ131="Y",1,0),0),"")</f>
        <v>0</v>
      </c>
      <c r="AS131" s="13"/>
      <c r="AT131" s="14">
        <f t="shared" ref="AT131:AT162" si="125">IFERROR(IF(AS131="Y",1,0),"")</f>
        <v>0</v>
      </c>
      <c r="AU131" s="14">
        <f t="shared" ref="AU131:AU162" si="126">IFERROR(SUM(AH131,AJ131,AL131,AN131,AP131,AR131,AT131),"")</f>
        <v>0</v>
      </c>
      <c r="AV131" s="13"/>
      <c r="AW131" s="14" t="str">
        <f t="shared" ref="AW131:AW162" si="127">IFERROR(IF(AV131="","",IF(AV131="No diabetes / HbA1c &lt;7.0%",0,IF(AV131="HbA1c 7.0-7.9%",1,2))),"")</f>
        <v/>
      </c>
      <c r="AX131" s="13"/>
      <c r="AY131" s="14" t="str">
        <f t="shared" ref="AY131:AY162" si="128">IFERROR(IF(AX131="","",IF(AX131="Never / Former (&gt;6mo abstinence)",0,2)),"")</f>
        <v/>
      </c>
      <c r="AZ131" s="13"/>
      <c r="BA131" s="14" t="str">
        <f t="shared" ref="BA131:BA162" si="129">IFERROR(IF(AZ131="","",IF(AZ131="None",0,IF(AZ131="One stable condition",1,2))),"")</f>
        <v/>
      </c>
      <c r="BB131" s="13"/>
      <c r="BC131" s="14">
        <f t="shared" ref="BC131:BC162" si="130">IFERROR(IF(BB131="Y",2,0),"")</f>
        <v>0</v>
      </c>
      <c r="BD131" s="14">
        <f t="shared" ref="BD131:BD162" si="131">IFERROR(SUM(AW131,AY131,BA131,BC131),"")</f>
        <v>0</v>
      </c>
      <c r="BE131" s="13"/>
      <c r="BF131" s="14" t="str">
        <f t="shared" ref="BF131:BF162" si="132">IFERROR(IF(BE131="","",IF(BE131="Ambulatory",0,IF(BE131="Wheelchair w/ cushions",1,IF(BE131="Bedbound w/ offloading mattress",2,3)))),"")</f>
        <v/>
      </c>
      <c r="BG131" s="13"/>
      <c r="BH131" s="14" t="str">
        <f t="shared" ref="BH131:BH162" si="133">IFERROR(IF(BG131="","",IF(BG131="Reliable 24/7 care",0,IF(BG131="Some support — inconsistent",2,0))),"")</f>
        <v/>
      </c>
      <c r="BI131" s="14">
        <f t="shared" ref="BI131:BI162" si="134">IFERROR(SUM(BF131,BH131),"")</f>
        <v>0</v>
      </c>
      <c r="BJ131" s="14">
        <f t="shared" ref="BJ131:BJ162" si="135">IFERROR(IF(COUNTA(AF131,AU131,BD131,BI131)=0,"",SUM(AF131,AU131,BD131,BI131)),"")</f>
        <v>0</v>
      </c>
      <c r="BK131" s="14" t="str">
        <f t="shared" ref="BK131:BK162" si="136">IFERROR(IF(BJ131="","",IF(BJ131&lt;6,"LOW RISK",IF(BJ131&lt;13,"MODERATE RISK",IF(BJ131&lt;20,"HIGH RISK","NOT AN IDEAL CANDIDATE")))),"")</f>
        <v>LOW RISK</v>
      </c>
      <c r="BL131" s="14" t="str">
        <f t="shared" ref="BL131:BL162" si="137">IFERROR(_xlfn.SINGLE(_xlfn.TEXTJOIN(", ", TRUE(), IF(V131 = "&lt;2.5 g/dL (Abs CI)", "Albumin CI", ""), IF(AB131 = "&gt;2.0 or Sepsis (Abs CI)", "PCT CI", ""), IF(BG131 = "No support (Functional CI)", "Functional CI", ""))), "")</f>
        <v/>
      </c>
      <c r="BM131" s="13"/>
      <c r="BN131" s="12"/>
      <c r="BO131" s="13"/>
      <c r="BP131" s="13"/>
      <c r="BQ131" s="13"/>
      <c r="BR131" s="13"/>
      <c r="BS131" s="13"/>
      <c r="BT131" s="13"/>
      <c r="BU131" s="14" t="str">
        <f t="shared" ref="BU131:BU162" si="138">IFERROR(IF(BT131="","",IF(BT131&lt;6,"LOW RISK",IF(BT131&lt;13,"MODERATE RISK",IF(BT131&lt;20,"HIGH RISK","NOT AN IDEAL CANDIDATE")))),"")</f>
        <v/>
      </c>
      <c r="BV131" s="13"/>
      <c r="BW131" s="13"/>
      <c r="BX131" s="13"/>
      <c r="BY131" s="13"/>
      <c r="BZ131" s="13"/>
      <c r="CA131" s="13"/>
      <c r="CB131" s="13"/>
      <c r="CC131" s="14" t="str">
        <f t="shared" ref="CC131:CC162" si="139">IFERROR(IF(COUNTA(BV131:CB131)=0,"",IF(COUNTIF(BV131:CB131,"Y")&gt;0,"YES — EVENT","NO event")),"")</f>
        <v/>
      </c>
      <c r="CD131" s="13"/>
      <c r="CE131" s="13"/>
      <c r="CF131" s="12"/>
      <c r="CG131" s="13"/>
      <c r="CH131" s="13"/>
      <c r="CI131" s="13"/>
      <c r="CJ131" s="13"/>
      <c r="CK131" s="13"/>
      <c r="CL131" s="12"/>
      <c r="CM131" s="13"/>
      <c r="CN131" s="13"/>
      <c r="CO131" s="13"/>
      <c r="CP131" s="12"/>
    </row>
    <row r="132" spans="1:94" x14ac:dyDescent="0.2">
      <c r="A132" s="12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4" t="str">
        <f t="shared" si="112"/>
        <v>✓ Clear to Score</v>
      </c>
      <c r="U132" s="13"/>
      <c r="V132" s="13"/>
      <c r="W132" s="14" t="str">
        <f t="shared" si="113"/>
        <v/>
      </c>
      <c r="X132" s="13"/>
      <c r="Y132" s="14" t="str">
        <f t="shared" si="114"/>
        <v/>
      </c>
      <c r="Z132" s="13"/>
      <c r="AA132" s="14" t="str">
        <f t="shared" si="115"/>
        <v/>
      </c>
      <c r="AB132" s="13"/>
      <c r="AC132" s="14" t="str">
        <f t="shared" si="116"/>
        <v/>
      </c>
      <c r="AD132" s="13"/>
      <c r="AE132" s="14">
        <f t="shared" si="117"/>
        <v>0</v>
      </c>
      <c r="AF132" s="14">
        <f t="shared" si="118"/>
        <v>0</v>
      </c>
      <c r="AG132" s="13"/>
      <c r="AH132" s="14" t="str">
        <f t="shared" si="119"/>
        <v/>
      </c>
      <c r="AI132" s="13"/>
      <c r="AJ132" s="14" t="str">
        <f t="shared" si="120"/>
        <v/>
      </c>
      <c r="AK132" s="13"/>
      <c r="AL132" s="14" t="str">
        <f t="shared" si="121"/>
        <v/>
      </c>
      <c r="AM132" s="13"/>
      <c r="AN132" s="14" t="str">
        <f t="shared" si="122"/>
        <v/>
      </c>
      <c r="AO132" s="13"/>
      <c r="AP132" s="14" t="str">
        <f t="shared" si="123"/>
        <v/>
      </c>
      <c r="AQ132" s="13"/>
      <c r="AR132" s="14">
        <f t="shared" si="124"/>
        <v>0</v>
      </c>
      <c r="AS132" s="13"/>
      <c r="AT132" s="14">
        <f t="shared" si="125"/>
        <v>0</v>
      </c>
      <c r="AU132" s="14">
        <f t="shared" si="126"/>
        <v>0</v>
      </c>
      <c r="AV132" s="13"/>
      <c r="AW132" s="14" t="str">
        <f t="shared" si="127"/>
        <v/>
      </c>
      <c r="AX132" s="13"/>
      <c r="AY132" s="14" t="str">
        <f t="shared" si="128"/>
        <v/>
      </c>
      <c r="AZ132" s="13"/>
      <c r="BA132" s="14" t="str">
        <f t="shared" si="129"/>
        <v/>
      </c>
      <c r="BB132" s="13"/>
      <c r="BC132" s="14">
        <f t="shared" si="130"/>
        <v>0</v>
      </c>
      <c r="BD132" s="14">
        <f t="shared" si="131"/>
        <v>0</v>
      </c>
      <c r="BE132" s="13"/>
      <c r="BF132" s="14" t="str">
        <f t="shared" si="132"/>
        <v/>
      </c>
      <c r="BG132" s="13"/>
      <c r="BH132" s="14" t="str">
        <f t="shared" si="133"/>
        <v/>
      </c>
      <c r="BI132" s="14">
        <f t="shared" si="134"/>
        <v>0</v>
      </c>
      <c r="BJ132" s="14">
        <f t="shared" si="135"/>
        <v>0</v>
      </c>
      <c r="BK132" s="14" t="str">
        <f t="shared" si="136"/>
        <v>LOW RISK</v>
      </c>
      <c r="BL132" s="14" t="str">
        <f t="shared" si="137"/>
        <v/>
      </c>
      <c r="BM132" s="13"/>
      <c r="BN132" s="12"/>
      <c r="BO132" s="13"/>
      <c r="BP132" s="13"/>
      <c r="BQ132" s="13"/>
      <c r="BR132" s="13"/>
      <c r="BS132" s="13"/>
      <c r="BT132" s="13"/>
      <c r="BU132" s="14" t="str">
        <f t="shared" si="138"/>
        <v/>
      </c>
      <c r="BV132" s="13"/>
      <c r="BW132" s="13"/>
      <c r="BX132" s="13"/>
      <c r="BY132" s="13"/>
      <c r="BZ132" s="13"/>
      <c r="CA132" s="13"/>
      <c r="CB132" s="13"/>
      <c r="CC132" s="14" t="str">
        <f t="shared" si="139"/>
        <v/>
      </c>
      <c r="CD132" s="13"/>
      <c r="CE132" s="13"/>
      <c r="CF132" s="12"/>
      <c r="CG132" s="13"/>
      <c r="CH132" s="13"/>
      <c r="CI132" s="13"/>
      <c r="CJ132" s="13"/>
      <c r="CK132" s="13"/>
      <c r="CL132" s="12"/>
      <c r="CM132" s="13"/>
      <c r="CN132" s="13"/>
      <c r="CO132" s="13"/>
      <c r="CP132" s="12"/>
    </row>
    <row r="133" spans="1:94" x14ac:dyDescent="0.2">
      <c r="A133" s="12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4" t="str">
        <f t="shared" si="112"/>
        <v>✓ Clear to Score</v>
      </c>
      <c r="U133" s="13"/>
      <c r="V133" s="13"/>
      <c r="W133" s="14" t="str">
        <f t="shared" si="113"/>
        <v/>
      </c>
      <c r="X133" s="13"/>
      <c r="Y133" s="14" t="str">
        <f t="shared" si="114"/>
        <v/>
      </c>
      <c r="Z133" s="13"/>
      <c r="AA133" s="14" t="str">
        <f t="shared" si="115"/>
        <v/>
      </c>
      <c r="AB133" s="13"/>
      <c r="AC133" s="14" t="str">
        <f t="shared" si="116"/>
        <v/>
      </c>
      <c r="AD133" s="13"/>
      <c r="AE133" s="14">
        <f t="shared" si="117"/>
        <v>0</v>
      </c>
      <c r="AF133" s="14">
        <f t="shared" si="118"/>
        <v>0</v>
      </c>
      <c r="AG133" s="13"/>
      <c r="AH133" s="14" t="str">
        <f t="shared" si="119"/>
        <v/>
      </c>
      <c r="AI133" s="13"/>
      <c r="AJ133" s="14" t="str">
        <f t="shared" si="120"/>
        <v/>
      </c>
      <c r="AK133" s="13"/>
      <c r="AL133" s="14" t="str">
        <f t="shared" si="121"/>
        <v/>
      </c>
      <c r="AM133" s="13"/>
      <c r="AN133" s="14" t="str">
        <f t="shared" si="122"/>
        <v/>
      </c>
      <c r="AO133" s="13"/>
      <c r="AP133" s="14" t="str">
        <f t="shared" si="123"/>
        <v/>
      </c>
      <c r="AQ133" s="13"/>
      <c r="AR133" s="14">
        <f t="shared" si="124"/>
        <v>0</v>
      </c>
      <c r="AS133" s="13"/>
      <c r="AT133" s="14">
        <f t="shared" si="125"/>
        <v>0</v>
      </c>
      <c r="AU133" s="14">
        <f t="shared" si="126"/>
        <v>0</v>
      </c>
      <c r="AV133" s="13"/>
      <c r="AW133" s="14" t="str">
        <f t="shared" si="127"/>
        <v/>
      </c>
      <c r="AX133" s="13"/>
      <c r="AY133" s="14" t="str">
        <f t="shared" si="128"/>
        <v/>
      </c>
      <c r="AZ133" s="13"/>
      <c r="BA133" s="14" t="str">
        <f t="shared" si="129"/>
        <v/>
      </c>
      <c r="BB133" s="13"/>
      <c r="BC133" s="14">
        <f t="shared" si="130"/>
        <v>0</v>
      </c>
      <c r="BD133" s="14">
        <f t="shared" si="131"/>
        <v>0</v>
      </c>
      <c r="BE133" s="13"/>
      <c r="BF133" s="14" t="str">
        <f t="shared" si="132"/>
        <v/>
      </c>
      <c r="BG133" s="13"/>
      <c r="BH133" s="14" t="str">
        <f t="shared" si="133"/>
        <v/>
      </c>
      <c r="BI133" s="14">
        <f t="shared" si="134"/>
        <v>0</v>
      </c>
      <c r="BJ133" s="14">
        <f t="shared" si="135"/>
        <v>0</v>
      </c>
      <c r="BK133" s="14" t="str">
        <f t="shared" si="136"/>
        <v>LOW RISK</v>
      </c>
      <c r="BL133" s="14" t="str">
        <f t="shared" si="137"/>
        <v/>
      </c>
      <c r="BM133" s="13"/>
      <c r="BN133" s="12"/>
      <c r="BO133" s="13"/>
      <c r="BP133" s="13"/>
      <c r="BQ133" s="13"/>
      <c r="BR133" s="13"/>
      <c r="BS133" s="13"/>
      <c r="BT133" s="13"/>
      <c r="BU133" s="14" t="str">
        <f t="shared" si="138"/>
        <v/>
      </c>
      <c r="BV133" s="13"/>
      <c r="BW133" s="13"/>
      <c r="BX133" s="13"/>
      <c r="BY133" s="13"/>
      <c r="BZ133" s="13"/>
      <c r="CA133" s="13"/>
      <c r="CB133" s="13"/>
      <c r="CC133" s="14" t="str">
        <f t="shared" si="139"/>
        <v/>
      </c>
      <c r="CD133" s="13"/>
      <c r="CE133" s="13"/>
      <c r="CF133" s="12"/>
      <c r="CG133" s="13"/>
      <c r="CH133" s="13"/>
      <c r="CI133" s="13"/>
      <c r="CJ133" s="13"/>
      <c r="CK133" s="13"/>
      <c r="CL133" s="12"/>
      <c r="CM133" s="13"/>
      <c r="CN133" s="13"/>
      <c r="CO133" s="13"/>
      <c r="CP133" s="12"/>
    </row>
    <row r="134" spans="1:94" x14ac:dyDescent="0.2">
      <c r="A134" s="1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4" t="str">
        <f t="shared" si="112"/>
        <v>✓ Clear to Score</v>
      </c>
      <c r="U134" s="13"/>
      <c r="V134" s="13"/>
      <c r="W134" s="14" t="str">
        <f t="shared" si="113"/>
        <v/>
      </c>
      <c r="X134" s="13"/>
      <c r="Y134" s="14" t="str">
        <f t="shared" si="114"/>
        <v/>
      </c>
      <c r="Z134" s="13"/>
      <c r="AA134" s="14" t="str">
        <f t="shared" si="115"/>
        <v/>
      </c>
      <c r="AB134" s="13"/>
      <c r="AC134" s="14" t="str">
        <f t="shared" si="116"/>
        <v/>
      </c>
      <c r="AD134" s="13"/>
      <c r="AE134" s="14">
        <f t="shared" si="117"/>
        <v>0</v>
      </c>
      <c r="AF134" s="14">
        <f t="shared" si="118"/>
        <v>0</v>
      </c>
      <c r="AG134" s="13"/>
      <c r="AH134" s="14" t="str">
        <f t="shared" si="119"/>
        <v/>
      </c>
      <c r="AI134" s="13"/>
      <c r="AJ134" s="14" t="str">
        <f t="shared" si="120"/>
        <v/>
      </c>
      <c r="AK134" s="13"/>
      <c r="AL134" s="14" t="str">
        <f t="shared" si="121"/>
        <v/>
      </c>
      <c r="AM134" s="13"/>
      <c r="AN134" s="14" t="str">
        <f t="shared" si="122"/>
        <v/>
      </c>
      <c r="AO134" s="13"/>
      <c r="AP134" s="14" t="str">
        <f t="shared" si="123"/>
        <v/>
      </c>
      <c r="AQ134" s="13"/>
      <c r="AR134" s="14">
        <f t="shared" si="124"/>
        <v>0</v>
      </c>
      <c r="AS134" s="13"/>
      <c r="AT134" s="14">
        <f t="shared" si="125"/>
        <v>0</v>
      </c>
      <c r="AU134" s="14">
        <f t="shared" si="126"/>
        <v>0</v>
      </c>
      <c r="AV134" s="13"/>
      <c r="AW134" s="14" t="str">
        <f t="shared" si="127"/>
        <v/>
      </c>
      <c r="AX134" s="13"/>
      <c r="AY134" s="14" t="str">
        <f t="shared" si="128"/>
        <v/>
      </c>
      <c r="AZ134" s="13"/>
      <c r="BA134" s="14" t="str">
        <f t="shared" si="129"/>
        <v/>
      </c>
      <c r="BB134" s="13"/>
      <c r="BC134" s="14">
        <f t="shared" si="130"/>
        <v>0</v>
      </c>
      <c r="BD134" s="14">
        <f t="shared" si="131"/>
        <v>0</v>
      </c>
      <c r="BE134" s="13"/>
      <c r="BF134" s="14" t="str">
        <f t="shared" si="132"/>
        <v/>
      </c>
      <c r="BG134" s="13"/>
      <c r="BH134" s="14" t="str">
        <f t="shared" si="133"/>
        <v/>
      </c>
      <c r="BI134" s="14">
        <f t="shared" si="134"/>
        <v>0</v>
      </c>
      <c r="BJ134" s="14">
        <f t="shared" si="135"/>
        <v>0</v>
      </c>
      <c r="BK134" s="14" t="str">
        <f t="shared" si="136"/>
        <v>LOW RISK</v>
      </c>
      <c r="BL134" s="14" t="str">
        <f t="shared" si="137"/>
        <v/>
      </c>
      <c r="BM134" s="13"/>
      <c r="BN134" s="12"/>
      <c r="BO134" s="13"/>
      <c r="BP134" s="13"/>
      <c r="BQ134" s="13"/>
      <c r="BR134" s="13"/>
      <c r="BS134" s="13"/>
      <c r="BT134" s="13"/>
      <c r="BU134" s="14" t="str">
        <f t="shared" si="138"/>
        <v/>
      </c>
      <c r="BV134" s="13"/>
      <c r="BW134" s="13"/>
      <c r="BX134" s="13"/>
      <c r="BY134" s="13"/>
      <c r="BZ134" s="13"/>
      <c r="CA134" s="13"/>
      <c r="CB134" s="13"/>
      <c r="CC134" s="14" t="str">
        <f t="shared" si="139"/>
        <v/>
      </c>
      <c r="CD134" s="13"/>
      <c r="CE134" s="13"/>
      <c r="CF134" s="12"/>
      <c r="CG134" s="13"/>
      <c r="CH134" s="13"/>
      <c r="CI134" s="13"/>
      <c r="CJ134" s="13"/>
      <c r="CK134" s="13"/>
      <c r="CL134" s="12"/>
      <c r="CM134" s="13"/>
      <c r="CN134" s="13"/>
      <c r="CO134" s="13"/>
      <c r="CP134" s="12"/>
    </row>
    <row r="135" spans="1:94" x14ac:dyDescent="0.2">
      <c r="A135" s="12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4" t="str">
        <f t="shared" si="112"/>
        <v>✓ Clear to Score</v>
      </c>
      <c r="U135" s="13"/>
      <c r="V135" s="13"/>
      <c r="W135" s="14" t="str">
        <f t="shared" si="113"/>
        <v/>
      </c>
      <c r="X135" s="13"/>
      <c r="Y135" s="14" t="str">
        <f t="shared" si="114"/>
        <v/>
      </c>
      <c r="Z135" s="13"/>
      <c r="AA135" s="14" t="str">
        <f t="shared" si="115"/>
        <v/>
      </c>
      <c r="AB135" s="13"/>
      <c r="AC135" s="14" t="str">
        <f t="shared" si="116"/>
        <v/>
      </c>
      <c r="AD135" s="13"/>
      <c r="AE135" s="14">
        <f t="shared" si="117"/>
        <v>0</v>
      </c>
      <c r="AF135" s="14">
        <f t="shared" si="118"/>
        <v>0</v>
      </c>
      <c r="AG135" s="13"/>
      <c r="AH135" s="14" t="str">
        <f t="shared" si="119"/>
        <v/>
      </c>
      <c r="AI135" s="13"/>
      <c r="AJ135" s="14" t="str">
        <f t="shared" si="120"/>
        <v/>
      </c>
      <c r="AK135" s="13"/>
      <c r="AL135" s="14" t="str">
        <f t="shared" si="121"/>
        <v/>
      </c>
      <c r="AM135" s="13"/>
      <c r="AN135" s="14" t="str">
        <f t="shared" si="122"/>
        <v/>
      </c>
      <c r="AO135" s="13"/>
      <c r="AP135" s="14" t="str">
        <f t="shared" si="123"/>
        <v/>
      </c>
      <c r="AQ135" s="13"/>
      <c r="AR135" s="14">
        <f t="shared" si="124"/>
        <v>0</v>
      </c>
      <c r="AS135" s="13"/>
      <c r="AT135" s="14">
        <f t="shared" si="125"/>
        <v>0</v>
      </c>
      <c r="AU135" s="14">
        <f t="shared" si="126"/>
        <v>0</v>
      </c>
      <c r="AV135" s="13"/>
      <c r="AW135" s="14" t="str">
        <f t="shared" si="127"/>
        <v/>
      </c>
      <c r="AX135" s="13"/>
      <c r="AY135" s="14" t="str">
        <f t="shared" si="128"/>
        <v/>
      </c>
      <c r="AZ135" s="13"/>
      <c r="BA135" s="14" t="str">
        <f t="shared" si="129"/>
        <v/>
      </c>
      <c r="BB135" s="13"/>
      <c r="BC135" s="14">
        <f t="shared" si="130"/>
        <v>0</v>
      </c>
      <c r="BD135" s="14">
        <f t="shared" si="131"/>
        <v>0</v>
      </c>
      <c r="BE135" s="13"/>
      <c r="BF135" s="14" t="str">
        <f t="shared" si="132"/>
        <v/>
      </c>
      <c r="BG135" s="13"/>
      <c r="BH135" s="14" t="str">
        <f t="shared" si="133"/>
        <v/>
      </c>
      <c r="BI135" s="14">
        <f t="shared" si="134"/>
        <v>0</v>
      </c>
      <c r="BJ135" s="14">
        <f t="shared" si="135"/>
        <v>0</v>
      </c>
      <c r="BK135" s="14" t="str">
        <f t="shared" si="136"/>
        <v>LOW RISK</v>
      </c>
      <c r="BL135" s="14" t="str">
        <f t="shared" si="137"/>
        <v/>
      </c>
      <c r="BM135" s="13"/>
      <c r="BN135" s="12"/>
      <c r="BO135" s="13"/>
      <c r="BP135" s="13"/>
      <c r="BQ135" s="13"/>
      <c r="BR135" s="13"/>
      <c r="BS135" s="13"/>
      <c r="BT135" s="13"/>
      <c r="BU135" s="14" t="str">
        <f t="shared" si="138"/>
        <v/>
      </c>
      <c r="BV135" s="13"/>
      <c r="BW135" s="13"/>
      <c r="BX135" s="13"/>
      <c r="BY135" s="13"/>
      <c r="BZ135" s="13"/>
      <c r="CA135" s="13"/>
      <c r="CB135" s="13"/>
      <c r="CC135" s="14" t="str">
        <f t="shared" si="139"/>
        <v/>
      </c>
      <c r="CD135" s="13"/>
      <c r="CE135" s="13"/>
      <c r="CF135" s="12"/>
      <c r="CG135" s="13"/>
      <c r="CH135" s="13"/>
      <c r="CI135" s="13"/>
      <c r="CJ135" s="13"/>
      <c r="CK135" s="13"/>
      <c r="CL135" s="12"/>
      <c r="CM135" s="13"/>
      <c r="CN135" s="13"/>
      <c r="CO135" s="13"/>
      <c r="CP135" s="12"/>
    </row>
    <row r="136" spans="1:94" x14ac:dyDescent="0.2">
      <c r="A136" s="12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4" t="str">
        <f t="shared" si="112"/>
        <v>✓ Clear to Score</v>
      </c>
      <c r="U136" s="13"/>
      <c r="V136" s="13"/>
      <c r="W136" s="14" t="str">
        <f t="shared" si="113"/>
        <v/>
      </c>
      <c r="X136" s="13"/>
      <c r="Y136" s="14" t="str">
        <f t="shared" si="114"/>
        <v/>
      </c>
      <c r="Z136" s="13"/>
      <c r="AA136" s="14" t="str">
        <f t="shared" si="115"/>
        <v/>
      </c>
      <c r="AB136" s="13"/>
      <c r="AC136" s="14" t="str">
        <f t="shared" si="116"/>
        <v/>
      </c>
      <c r="AD136" s="13"/>
      <c r="AE136" s="14">
        <f t="shared" si="117"/>
        <v>0</v>
      </c>
      <c r="AF136" s="14">
        <f t="shared" si="118"/>
        <v>0</v>
      </c>
      <c r="AG136" s="13"/>
      <c r="AH136" s="14" t="str">
        <f t="shared" si="119"/>
        <v/>
      </c>
      <c r="AI136" s="13"/>
      <c r="AJ136" s="14" t="str">
        <f t="shared" si="120"/>
        <v/>
      </c>
      <c r="AK136" s="13"/>
      <c r="AL136" s="14" t="str">
        <f t="shared" si="121"/>
        <v/>
      </c>
      <c r="AM136" s="13"/>
      <c r="AN136" s="14" t="str">
        <f t="shared" si="122"/>
        <v/>
      </c>
      <c r="AO136" s="13"/>
      <c r="AP136" s="14" t="str">
        <f t="shared" si="123"/>
        <v/>
      </c>
      <c r="AQ136" s="13"/>
      <c r="AR136" s="14">
        <f t="shared" si="124"/>
        <v>0</v>
      </c>
      <c r="AS136" s="13"/>
      <c r="AT136" s="14">
        <f t="shared" si="125"/>
        <v>0</v>
      </c>
      <c r="AU136" s="14">
        <f t="shared" si="126"/>
        <v>0</v>
      </c>
      <c r="AV136" s="13"/>
      <c r="AW136" s="14" t="str">
        <f t="shared" si="127"/>
        <v/>
      </c>
      <c r="AX136" s="13"/>
      <c r="AY136" s="14" t="str">
        <f t="shared" si="128"/>
        <v/>
      </c>
      <c r="AZ136" s="13"/>
      <c r="BA136" s="14" t="str">
        <f t="shared" si="129"/>
        <v/>
      </c>
      <c r="BB136" s="13"/>
      <c r="BC136" s="14">
        <f t="shared" si="130"/>
        <v>0</v>
      </c>
      <c r="BD136" s="14">
        <f t="shared" si="131"/>
        <v>0</v>
      </c>
      <c r="BE136" s="13"/>
      <c r="BF136" s="14" t="str">
        <f t="shared" si="132"/>
        <v/>
      </c>
      <c r="BG136" s="13"/>
      <c r="BH136" s="14" t="str">
        <f t="shared" si="133"/>
        <v/>
      </c>
      <c r="BI136" s="14">
        <f t="shared" si="134"/>
        <v>0</v>
      </c>
      <c r="BJ136" s="14">
        <f t="shared" si="135"/>
        <v>0</v>
      </c>
      <c r="BK136" s="14" t="str">
        <f t="shared" si="136"/>
        <v>LOW RISK</v>
      </c>
      <c r="BL136" s="14" t="str">
        <f t="shared" si="137"/>
        <v/>
      </c>
      <c r="BM136" s="13"/>
      <c r="BN136" s="12"/>
      <c r="BO136" s="13"/>
      <c r="BP136" s="13"/>
      <c r="BQ136" s="13"/>
      <c r="BR136" s="13"/>
      <c r="BS136" s="13"/>
      <c r="BT136" s="13"/>
      <c r="BU136" s="14" t="str">
        <f t="shared" si="138"/>
        <v/>
      </c>
      <c r="BV136" s="13"/>
      <c r="BW136" s="13"/>
      <c r="BX136" s="13"/>
      <c r="BY136" s="13"/>
      <c r="BZ136" s="13"/>
      <c r="CA136" s="13"/>
      <c r="CB136" s="13"/>
      <c r="CC136" s="14" t="str">
        <f t="shared" si="139"/>
        <v/>
      </c>
      <c r="CD136" s="13"/>
      <c r="CE136" s="13"/>
      <c r="CF136" s="12"/>
      <c r="CG136" s="13"/>
      <c r="CH136" s="13"/>
      <c r="CI136" s="13"/>
      <c r="CJ136" s="13"/>
      <c r="CK136" s="13"/>
      <c r="CL136" s="12"/>
      <c r="CM136" s="13"/>
      <c r="CN136" s="13"/>
      <c r="CO136" s="13"/>
      <c r="CP136" s="12"/>
    </row>
    <row r="137" spans="1:94" x14ac:dyDescent="0.2">
      <c r="A137" s="12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4" t="str">
        <f t="shared" si="112"/>
        <v>✓ Clear to Score</v>
      </c>
      <c r="U137" s="13"/>
      <c r="V137" s="13"/>
      <c r="W137" s="14" t="str">
        <f t="shared" si="113"/>
        <v/>
      </c>
      <c r="X137" s="13"/>
      <c r="Y137" s="14" t="str">
        <f t="shared" si="114"/>
        <v/>
      </c>
      <c r="Z137" s="13"/>
      <c r="AA137" s="14" t="str">
        <f t="shared" si="115"/>
        <v/>
      </c>
      <c r="AB137" s="13"/>
      <c r="AC137" s="14" t="str">
        <f t="shared" si="116"/>
        <v/>
      </c>
      <c r="AD137" s="13"/>
      <c r="AE137" s="14">
        <f t="shared" si="117"/>
        <v>0</v>
      </c>
      <c r="AF137" s="14">
        <f t="shared" si="118"/>
        <v>0</v>
      </c>
      <c r="AG137" s="13"/>
      <c r="AH137" s="14" t="str">
        <f t="shared" si="119"/>
        <v/>
      </c>
      <c r="AI137" s="13"/>
      <c r="AJ137" s="14" t="str">
        <f t="shared" si="120"/>
        <v/>
      </c>
      <c r="AK137" s="13"/>
      <c r="AL137" s="14" t="str">
        <f t="shared" si="121"/>
        <v/>
      </c>
      <c r="AM137" s="13"/>
      <c r="AN137" s="14" t="str">
        <f t="shared" si="122"/>
        <v/>
      </c>
      <c r="AO137" s="13"/>
      <c r="AP137" s="14" t="str">
        <f t="shared" si="123"/>
        <v/>
      </c>
      <c r="AQ137" s="13"/>
      <c r="AR137" s="14">
        <f t="shared" si="124"/>
        <v>0</v>
      </c>
      <c r="AS137" s="13"/>
      <c r="AT137" s="14">
        <f t="shared" si="125"/>
        <v>0</v>
      </c>
      <c r="AU137" s="14">
        <f t="shared" si="126"/>
        <v>0</v>
      </c>
      <c r="AV137" s="13"/>
      <c r="AW137" s="14" t="str">
        <f t="shared" si="127"/>
        <v/>
      </c>
      <c r="AX137" s="13"/>
      <c r="AY137" s="14" t="str">
        <f t="shared" si="128"/>
        <v/>
      </c>
      <c r="AZ137" s="13"/>
      <c r="BA137" s="14" t="str">
        <f t="shared" si="129"/>
        <v/>
      </c>
      <c r="BB137" s="13"/>
      <c r="BC137" s="14">
        <f t="shared" si="130"/>
        <v>0</v>
      </c>
      <c r="BD137" s="14">
        <f t="shared" si="131"/>
        <v>0</v>
      </c>
      <c r="BE137" s="13"/>
      <c r="BF137" s="14" t="str">
        <f t="shared" si="132"/>
        <v/>
      </c>
      <c r="BG137" s="13"/>
      <c r="BH137" s="14" t="str">
        <f t="shared" si="133"/>
        <v/>
      </c>
      <c r="BI137" s="14">
        <f t="shared" si="134"/>
        <v>0</v>
      </c>
      <c r="BJ137" s="14">
        <f t="shared" si="135"/>
        <v>0</v>
      </c>
      <c r="BK137" s="14" t="str">
        <f t="shared" si="136"/>
        <v>LOW RISK</v>
      </c>
      <c r="BL137" s="14" t="str">
        <f t="shared" si="137"/>
        <v/>
      </c>
      <c r="BM137" s="13"/>
      <c r="BN137" s="12"/>
      <c r="BO137" s="13"/>
      <c r="BP137" s="13"/>
      <c r="BQ137" s="13"/>
      <c r="BR137" s="13"/>
      <c r="BS137" s="13"/>
      <c r="BT137" s="13"/>
      <c r="BU137" s="14" t="str">
        <f t="shared" si="138"/>
        <v/>
      </c>
      <c r="BV137" s="13"/>
      <c r="BW137" s="13"/>
      <c r="BX137" s="13"/>
      <c r="BY137" s="13"/>
      <c r="BZ137" s="13"/>
      <c r="CA137" s="13"/>
      <c r="CB137" s="13"/>
      <c r="CC137" s="14" t="str">
        <f t="shared" si="139"/>
        <v/>
      </c>
      <c r="CD137" s="13"/>
      <c r="CE137" s="13"/>
      <c r="CF137" s="12"/>
      <c r="CG137" s="13"/>
      <c r="CH137" s="13"/>
      <c r="CI137" s="13"/>
      <c r="CJ137" s="13"/>
      <c r="CK137" s="13"/>
      <c r="CL137" s="12"/>
      <c r="CM137" s="13"/>
      <c r="CN137" s="13"/>
      <c r="CO137" s="13"/>
      <c r="CP137" s="12"/>
    </row>
    <row r="138" spans="1:94" x14ac:dyDescent="0.2">
      <c r="A138" s="12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4" t="str">
        <f t="shared" si="112"/>
        <v>✓ Clear to Score</v>
      </c>
      <c r="U138" s="13"/>
      <c r="V138" s="13"/>
      <c r="W138" s="14" t="str">
        <f t="shared" si="113"/>
        <v/>
      </c>
      <c r="X138" s="13"/>
      <c r="Y138" s="14" t="str">
        <f t="shared" si="114"/>
        <v/>
      </c>
      <c r="Z138" s="13"/>
      <c r="AA138" s="14" t="str">
        <f t="shared" si="115"/>
        <v/>
      </c>
      <c r="AB138" s="13"/>
      <c r="AC138" s="14" t="str">
        <f t="shared" si="116"/>
        <v/>
      </c>
      <c r="AD138" s="13"/>
      <c r="AE138" s="14">
        <f t="shared" si="117"/>
        <v>0</v>
      </c>
      <c r="AF138" s="14">
        <f t="shared" si="118"/>
        <v>0</v>
      </c>
      <c r="AG138" s="13"/>
      <c r="AH138" s="14" t="str">
        <f t="shared" si="119"/>
        <v/>
      </c>
      <c r="AI138" s="13"/>
      <c r="AJ138" s="14" t="str">
        <f t="shared" si="120"/>
        <v/>
      </c>
      <c r="AK138" s="13"/>
      <c r="AL138" s="14" t="str">
        <f t="shared" si="121"/>
        <v/>
      </c>
      <c r="AM138" s="13"/>
      <c r="AN138" s="14" t="str">
        <f t="shared" si="122"/>
        <v/>
      </c>
      <c r="AO138" s="13"/>
      <c r="AP138" s="14" t="str">
        <f t="shared" si="123"/>
        <v/>
      </c>
      <c r="AQ138" s="13"/>
      <c r="AR138" s="14">
        <f t="shared" si="124"/>
        <v>0</v>
      </c>
      <c r="AS138" s="13"/>
      <c r="AT138" s="14">
        <f t="shared" si="125"/>
        <v>0</v>
      </c>
      <c r="AU138" s="14">
        <f t="shared" si="126"/>
        <v>0</v>
      </c>
      <c r="AV138" s="13"/>
      <c r="AW138" s="14" t="str">
        <f t="shared" si="127"/>
        <v/>
      </c>
      <c r="AX138" s="13"/>
      <c r="AY138" s="14" t="str">
        <f t="shared" si="128"/>
        <v/>
      </c>
      <c r="AZ138" s="13"/>
      <c r="BA138" s="14" t="str">
        <f t="shared" si="129"/>
        <v/>
      </c>
      <c r="BB138" s="13"/>
      <c r="BC138" s="14">
        <f t="shared" si="130"/>
        <v>0</v>
      </c>
      <c r="BD138" s="14">
        <f t="shared" si="131"/>
        <v>0</v>
      </c>
      <c r="BE138" s="13"/>
      <c r="BF138" s="14" t="str">
        <f t="shared" si="132"/>
        <v/>
      </c>
      <c r="BG138" s="13"/>
      <c r="BH138" s="14" t="str">
        <f t="shared" si="133"/>
        <v/>
      </c>
      <c r="BI138" s="14">
        <f t="shared" si="134"/>
        <v>0</v>
      </c>
      <c r="BJ138" s="14">
        <f t="shared" si="135"/>
        <v>0</v>
      </c>
      <c r="BK138" s="14" t="str">
        <f t="shared" si="136"/>
        <v>LOW RISK</v>
      </c>
      <c r="BL138" s="14" t="str">
        <f t="shared" si="137"/>
        <v/>
      </c>
      <c r="BM138" s="13"/>
      <c r="BN138" s="12"/>
      <c r="BO138" s="13"/>
      <c r="BP138" s="13"/>
      <c r="BQ138" s="13"/>
      <c r="BR138" s="13"/>
      <c r="BS138" s="13"/>
      <c r="BT138" s="13"/>
      <c r="BU138" s="14" t="str">
        <f t="shared" si="138"/>
        <v/>
      </c>
      <c r="BV138" s="13"/>
      <c r="BW138" s="13"/>
      <c r="BX138" s="13"/>
      <c r="BY138" s="13"/>
      <c r="BZ138" s="13"/>
      <c r="CA138" s="13"/>
      <c r="CB138" s="13"/>
      <c r="CC138" s="14" t="str">
        <f t="shared" si="139"/>
        <v/>
      </c>
      <c r="CD138" s="13"/>
      <c r="CE138" s="13"/>
      <c r="CF138" s="12"/>
      <c r="CG138" s="13"/>
      <c r="CH138" s="13"/>
      <c r="CI138" s="13"/>
      <c r="CJ138" s="13"/>
      <c r="CK138" s="13"/>
      <c r="CL138" s="12"/>
      <c r="CM138" s="13"/>
      <c r="CN138" s="13"/>
      <c r="CO138" s="13"/>
      <c r="CP138" s="12"/>
    </row>
    <row r="139" spans="1:94" x14ac:dyDescent="0.2">
      <c r="A139" s="12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4" t="str">
        <f t="shared" si="112"/>
        <v>✓ Clear to Score</v>
      </c>
      <c r="U139" s="13"/>
      <c r="V139" s="13"/>
      <c r="W139" s="14" t="str">
        <f t="shared" si="113"/>
        <v/>
      </c>
      <c r="X139" s="13"/>
      <c r="Y139" s="14" t="str">
        <f t="shared" si="114"/>
        <v/>
      </c>
      <c r="Z139" s="13"/>
      <c r="AA139" s="14" t="str">
        <f t="shared" si="115"/>
        <v/>
      </c>
      <c r="AB139" s="13"/>
      <c r="AC139" s="14" t="str">
        <f t="shared" si="116"/>
        <v/>
      </c>
      <c r="AD139" s="13"/>
      <c r="AE139" s="14">
        <f t="shared" si="117"/>
        <v>0</v>
      </c>
      <c r="AF139" s="14">
        <f t="shared" si="118"/>
        <v>0</v>
      </c>
      <c r="AG139" s="13"/>
      <c r="AH139" s="14" t="str">
        <f t="shared" si="119"/>
        <v/>
      </c>
      <c r="AI139" s="13"/>
      <c r="AJ139" s="14" t="str">
        <f t="shared" si="120"/>
        <v/>
      </c>
      <c r="AK139" s="13"/>
      <c r="AL139" s="14" t="str">
        <f t="shared" si="121"/>
        <v/>
      </c>
      <c r="AM139" s="13"/>
      <c r="AN139" s="14" t="str">
        <f t="shared" si="122"/>
        <v/>
      </c>
      <c r="AO139" s="13"/>
      <c r="AP139" s="14" t="str">
        <f t="shared" si="123"/>
        <v/>
      </c>
      <c r="AQ139" s="13"/>
      <c r="AR139" s="14">
        <f t="shared" si="124"/>
        <v>0</v>
      </c>
      <c r="AS139" s="13"/>
      <c r="AT139" s="14">
        <f t="shared" si="125"/>
        <v>0</v>
      </c>
      <c r="AU139" s="14">
        <f t="shared" si="126"/>
        <v>0</v>
      </c>
      <c r="AV139" s="13"/>
      <c r="AW139" s="14" t="str">
        <f t="shared" si="127"/>
        <v/>
      </c>
      <c r="AX139" s="13"/>
      <c r="AY139" s="14" t="str">
        <f t="shared" si="128"/>
        <v/>
      </c>
      <c r="AZ139" s="13"/>
      <c r="BA139" s="14" t="str">
        <f t="shared" si="129"/>
        <v/>
      </c>
      <c r="BB139" s="13"/>
      <c r="BC139" s="14">
        <f t="shared" si="130"/>
        <v>0</v>
      </c>
      <c r="BD139" s="14">
        <f t="shared" si="131"/>
        <v>0</v>
      </c>
      <c r="BE139" s="13"/>
      <c r="BF139" s="14" t="str">
        <f t="shared" si="132"/>
        <v/>
      </c>
      <c r="BG139" s="13"/>
      <c r="BH139" s="14" t="str">
        <f t="shared" si="133"/>
        <v/>
      </c>
      <c r="BI139" s="14">
        <f t="shared" si="134"/>
        <v>0</v>
      </c>
      <c r="BJ139" s="14">
        <f t="shared" si="135"/>
        <v>0</v>
      </c>
      <c r="BK139" s="14" t="str">
        <f t="shared" si="136"/>
        <v>LOW RISK</v>
      </c>
      <c r="BL139" s="14" t="str">
        <f t="shared" si="137"/>
        <v/>
      </c>
      <c r="BM139" s="13"/>
      <c r="BN139" s="12"/>
      <c r="BO139" s="13"/>
      <c r="BP139" s="13"/>
      <c r="BQ139" s="13"/>
      <c r="BR139" s="13"/>
      <c r="BS139" s="13"/>
      <c r="BT139" s="13"/>
      <c r="BU139" s="14" t="str">
        <f t="shared" si="138"/>
        <v/>
      </c>
      <c r="BV139" s="13"/>
      <c r="BW139" s="13"/>
      <c r="BX139" s="13"/>
      <c r="BY139" s="13"/>
      <c r="BZ139" s="13"/>
      <c r="CA139" s="13"/>
      <c r="CB139" s="13"/>
      <c r="CC139" s="14" t="str">
        <f t="shared" si="139"/>
        <v/>
      </c>
      <c r="CD139" s="13"/>
      <c r="CE139" s="13"/>
      <c r="CF139" s="12"/>
      <c r="CG139" s="13"/>
      <c r="CH139" s="13"/>
      <c r="CI139" s="13"/>
      <c r="CJ139" s="13"/>
      <c r="CK139" s="13"/>
      <c r="CL139" s="12"/>
      <c r="CM139" s="13"/>
      <c r="CN139" s="13"/>
      <c r="CO139" s="13"/>
      <c r="CP139" s="12"/>
    </row>
    <row r="140" spans="1:94" x14ac:dyDescent="0.2">
      <c r="A140" s="12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4" t="str">
        <f t="shared" si="112"/>
        <v>✓ Clear to Score</v>
      </c>
      <c r="U140" s="13"/>
      <c r="V140" s="13"/>
      <c r="W140" s="14" t="str">
        <f t="shared" si="113"/>
        <v/>
      </c>
      <c r="X140" s="13"/>
      <c r="Y140" s="14" t="str">
        <f t="shared" si="114"/>
        <v/>
      </c>
      <c r="Z140" s="13"/>
      <c r="AA140" s="14" t="str">
        <f t="shared" si="115"/>
        <v/>
      </c>
      <c r="AB140" s="13"/>
      <c r="AC140" s="14" t="str">
        <f t="shared" si="116"/>
        <v/>
      </c>
      <c r="AD140" s="13"/>
      <c r="AE140" s="14">
        <f t="shared" si="117"/>
        <v>0</v>
      </c>
      <c r="AF140" s="14">
        <f t="shared" si="118"/>
        <v>0</v>
      </c>
      <c r="AG140" s="13"/>
      <c r="AH140" s="14" t="str">
        <f t="shared" si="119"/>
        <v/>
      </c>
      <c r="AI140" s="13"/>
      <c r="AJ140" s="14" t="str">
        <f t="shared" si="120"/>
        <v/>
      </c>
      <c r="AK140" s="13"/>
      <c r="AL140" s="14" t="str">
        <f t="shared" si="121"/>
        <v/>
      </c>
      <c r="AM140" s="13"/>
      <c r="AN140" s="14" t="str">
        <f t="shared" si="122"/>
        <v/>
      </c>
      <c r="AO140" s="13"/>
      <c r="AP140" s="14" t="str">
        <f t="shared" si="123"/>
        <v/>
      </c>
      <c r="AQ140" s="13"/>
      <c r="AR140" s="14">
        <f t="shared" si="124"/>
        <v>0</v>
      </c>
      <c r="AS140" s="13"/>
      <c r="AT140" s="14">
        <f t="shared" si="125"/>
        <v>0</v>
      </c>
      <c r="AU140" s="14">
        <f t="shared" si="126"/>
        <v>0</v>
      </c>
      <c r="AV140" s="13"/>
      <c r="AW140" s="14" t="str">
        <f t="shared" si="127"/>
        <v/>
      </c>
      <c r="AX140" s="13"/>
      <c r="AY140" s="14" t="str">
        <f t="shared" si="128"/>
        <v/>
      </c>
      <c r="AZ140" s="13"/>
      <c r="BA140" s="14" t="str">
        <f t="shared" si="129"/>
        <v/>
      </c>
      <c r="BB140" s="13"/>
      <c r="BC140" s="14">
        <f t="shared" si="130"/>
        <v>0</v>
      </c>
      <c r="BD140" s="14">
        <f t="shared" si="131"/>
        <v>0</v>
      </c>
      <c r="BE140" s="13"/>
      <c r="BF140" s="14" t="str">
        <f t="shared" si="132"/>
        <v/>
      </c>
      <c r="BG140" s="13"/>
      <c r="BH140" s="14" t="str">
        <f t="shared" si="133"/>
        <v/>
      </c>
      <c r="BI140" s="14">
        <f t="shared" si="134"/>
        <v>0</v>
      </c>
      <c r="BJ140" s="14">
        <f t="shared" si="135"/>
        <v>0</v>
      </c>
      <c r="BK140" s="14" t="str">
        <f t="shared" si="136"/>
        <v>LOW RISK</v>
      </c>
      <c r="BL140" s="14" t="str">
        <f t="shared" si="137"/>
        <v/>
      </c>
      <c r="BM140" s="13"/>
      <c r="BN140" s="12"/>
      <c r="BO140" s="13"/>
      <c r="BP140" s="13"/>
      <c r="BQ140" s="13"/>
      <c r="BR140" s="13"/>
      <c r="BS140" s="13"/>
      <c r="BT140" s="13"/>
      <c r="BU140" s="14" t="str">
        <f t="shared" si="138"/>
        <v/>
      </c>
      <c r="BV140" s="13"/>
      <c r="BW140" s="13"/>
      <c r="BX140" s="13"/>
      <c r="BY140" s="13"/>
      <c r="BZ140" s="13"/>
      <c r="CA140" s="13"/>
      <c r="CB140" s="13"/>
      <c r="CC140" s="14" t="str">
        <f t="shared" si="139"/>
        <v/>
      </c>
      <c r="CD140" s="13"/>
      <c r="CE140" s="13"/>
      <c r="CF140" s="12"/>
      <c r="CG140" s="13"/>
      <c r="CH140" s="13"/>
      <c r="CI140" s="13"/>
      <c r="CJ140" s="13"/>
      <c r="CK140" s="13"/>
      <c r="CL140" s="12"/>
      <c r="CM140" s="13"/>
      <c r="CN140" s="13"/>
      <c r="CO140" s="13"/>
      <c r="CP140" s="12"/>
    </row>
    <row r="141" spans="1:94" x14ac:dyDescent="0.2">
      <c r="A141" s="12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4" t="str">
        <f t="shared" si="112"/>
        <v>✓ Clear to Score</v>
      </c>
      <c r="U141" s="13"/>
      <c r="V141" s="13"/>
      <c r="W141" s="14" t="str">
        <f t="shared" si="113"/>
        <v/>
      </c>
      <c r="X141" s="13"/>
      <c r="Y141" s="14" t="str">
        <f t="shared" si="114"/>
        <v/>
      </c>
      <c r="Z141" s="13"/>
      <c r="AA141" s="14" t="str">
        <f t="shared" si="115"/>
        <v/>
      </c>
      <c r="AB141" s="13"/>
      <c r="AC141" s="14" t="str">
        <f t="shared" si="116"/>
        <v/>
      </c>
      <c r="AD141" s="13"/>
      <c r="AE141" s="14">
        <f t="shared" si="117"/>
        <v>0</v>
      </c>
      <c r="AF141" s="14">
        <f t="shared" si="118"/>
        <v>0</v>
      </c>
      <c r="AG141" s="13"/>
      <c r="AH141" s="14" t="str">
        <f t="shared" si="119"/>
        <v/>
      </c>
      <c r="AI141" s="13"/>
      <c r="AJ141" s="14" t="str">
        <f t="shared" si="120"/>
        <v/>
      </c>
      <c r="AK141" s="13"/>
      <c r="AL141" s="14" t="str">
        <f t="shared" si="121"/>
        <v/>
      </c>
      <c r="AM141" s="13"/>
      <c r="AN141" s="14" t="str">
        <f t="shared" si="122"/>
        <v/>
      </c>
      <c r="AO141" s="13"/>
      <c r="AP141" s="14" t="str">
        <f t="shared" si="123"/>
        <v/>
      </c>
      <c r="AQ141" s="13"/>
      <c r="AR141" s="14">
        <f t="shared" si="124"/>
        <v>0</v>
      </c>
      <c r="AS141" s="13"/>
      <c r="AT141" s="14">
        <f t="shared" si="125"/>
        <v>0</v>
      </c>
      <c r="AU141" s="14">
        <f t="shared" si="126"/>
        <v>0</v>
      </c>
      <c r="AV141" s="13"/>
      <c r="AW141" s="14" t="str">
        <f t="shared" si="127"/>
        <v/>
      </c>
      <c r="AX141" s="13"/>
      <c r="AY141" s="14" t="str">
        <f t="shared" si="128"/>
        <v/>
      </c>
      <c r="AZ141" s="13"/>
      <c r="BA141" s="14" t="str">
        <f t="shared" si="129"/>
        <v/>
      </c>
      <c r="BB141" s="13"/>
      <c r="BC141" s="14">
        <f t="shared" si="130"/>
        <v>0</v>
      </c>
      <c r="BD141" s="14">
        <f t="shared" si="131"/>
        <v>0</v>
      </c>
      <c r="BE141" s="13"/>
      <c r="BF141" s="14" t="str">
        <f t="shared" si="132"/>
        <v/>
      </c>
      <c r="BG141" s="13"/>
      <c r="BH141" s="14" t="str">
        <f t="shared" si="133"/>
        <v/>
      </c>
      <c r="BI141" s="14">
        <f t="shared" si="134"/>
        <v>0</v>
      </c>
      <c r="BJ141" s="14">
        <f t="shared" si="135"/>
        <v>0</v>
      </c>
      <c r="BK141" s="14" t="str">
        <f t="shared" si="136"/>
        <v>LOW RISK</v>
      </c>
      <c r="BL141" s="14" t="str">
        <f t="shared" si="137"/>
        <v/>
      </c>
      <c r="BM141" s="13"/>
      <c r="BN141" s="12"/>
      <c r="BO141" s="13"/>
      <c r="BP141" s="13"/>
      <c r="BQ141" s="13"/>
      <c r="BR141" s="13"/>
      <c r="BS141" s="13"/>
      <c r="BT141" s="13"/>
      <c r="BU141" s="14" t="str">
        <f t="shared" si="138"/>
        <v/>
      </c>
      <c r="BV141" s="13"/>
      <c r="BW141" s="13"/>
      <c r="BX141" s="13"/>
      <c r="BY141" s="13"/>
      <c r="BZ141" s="13"/>
      <c r="CA141" s="13"/>
      <c r="CB141" s="13"/>
      <c r="CC141" s="14" t="str">
        <f t="shared" si="139"/>
        <v/>
      </c>
      <c r="CD141" s="13"/>
      <c r="CE141" s="13"/>
      <c r="CF141" s="12"/>
      <c r="CG141" s="13"/>
      <c r="CH141" s="13"/>
      <c r="CI141" s="13"/>
      <c r="CJ141" s="13"/>
      <c r="CK141" s="13"/>
      <c r="CL141" s="12"/>
      <c r="CM141" s="13"/>
      <c r="CN141" s="13"/>
      <c r="CO141" s="13"/>
      <c r="CP141" s="12"/>
    </row>
    <row r="142" spans="1:94" x14ac:dyDescent="0.2">
      <c r="A142" s="12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4" t="str">
        <f t="shared" si="112"/>
        <v>✓ Clear to Score</v>
      </c>
      <c r="U142" s="13"/>
      <c r="V142" s="13"/>
      <c r="W142" s="14" t="str">
        <f t="shared" si="113"/>
        <v/>
      </c>
      <c r="X142" s="13"/>
      <c r="Y142" s="14" t="str">
        <f t="shared" si="114"/>
        <v/>
      </c>
      <c r="Z142" s="13"/>
      <c r="AA142" s="14" t="str">
        <f t="shared" si="115"/>
        <v/>
      </c>
      <c r="AB142" s="13"/>
      <c r="AC142" s="14" t="str">
        <f t="shared" si="116"/>
        <v/>
      </c>
      <c r="AD142" s="13"/>
      <c r="AE142" s="14">
        <f t="shared" si="117"/>
        <v>0</v>
      </c>
      <c r="AF142" s="14">
        <f t="shared" si="118"/>
        <v>0</v>
      </c>
      <c r="AG142" s="13"/>
      <c r="AH142" s="14" t="str">
        <f t="shared" si="119"/>
        <v/>
      </c>
      <c r="AI142" s="13"/>
      <c r="AJ142" s="14" t="str">
        <f t="shared" si="120"/>
        <v/>
      </c>
      <c r="AK142" s="13"/>
      <c r="AL142" s="14" t="str">
        <f t="shared" si="121"/>
        <v/>
      </c>
      <c r="AM142" s="13"/>
      <c r="AN142" s="14" t="str">
        <f t="shared" si="122"/>
        <v/>
      </c>
      <c r="AO142" s="13"/>
      <c r="AP142" s="14" t="str">
        <f t="shared" si="123"/>
        <v/>
      </c>
      <c r="AQ142" s="13"/>
      <c r="AR142" s="14">
        <f t="shared" si="124"/>
        <v>0</v>
      </c>
      <c r="AS142" s="13"/>
      <c r="AT142" s="14">
        <f t="shared" si="125"/>
        <v>0</v>
      </c>
      <c r="AU142" s="14">
        <f t="shared" si="126"/>
        <v>0</v>
      </c>
      <c r="AV142" s="13"/>
      <c r="AW142" s="14" t="str">
        <f t="shared" si="127"/>
        <v/>
      </c>
      <c r="AX142" s="13"/>
      <c r="AY142" s="14" t="str">
        <f t="shared" si="128"/>
        <v/>
      </c>
      <c r="AZ142" s="13"/>
      <c r="BA142" s="14" t="str">
        <f t="shared" si="129"/>
        <v/>
      </c>
      <c r="BB142" s="13"/>
      <c r="BC142" s="14">
        <f t="shared" si="130"/>
        <v>0</v>
      </c>
      <c r="BD142" s="14">
        <f t="shared" si="131"/>
        <v>0</v>
      </c>
      <c r="BE142" s="13"/>
      <c r="BF142" s="14" t="str">
        <f t="shared" si="132"/>
        <v/>
      </c>
      <c r="BG142" s="13"/>
      <c r="BH142" s="14" t="str">
        <f t="shared" si="133"/>
        <v/>
      </c>
      <c r="BI142" s="14">
        <f t="shared" si="134"/>
        <v>0</v>
      </c>
      <c r="BJ142" s="14">
        <f t="shared" si="135"/>
        <v>0</v>
      </c>
      <c r="BK142" s="14" t="str">
        <f t="shared" si="136"/>
        <v>LOW RISK</v>
      </c>
      <c r="BL142" s="14" t="str">
        <f t="shared" si="137"/>
        <v/>
      </c>
      <c r="BM142" s="13"/>
      <c r="BN142" s="12"/>
      <c r="BO142" s="13"/>
      <c r="BP142" s="13"/>
      <c r="BQ142" s="13"/>
      <c r="BR142" s="13"/>
      <c r="BS142" s="13"/>
      <c r="BT142" s="13"/>
      <c r="BU142" s="14" t="str">
        <f t="shared" si="138"/>
        <v/>
      </c>
      <c r="BV142" s="13"/>
      <c r="BW142" s="13"/>
      <c r="BX142" s="13"/>
      <c r="BY142" s="13"/>
      <c r="BZ142" s="13"/>
      <c r="CA142" s="13"/>
      <c r="CB142" s="13"/>
      <c r="CC142" s="14" t="str">
        <f t="shared" si="139"/>
        <v/>
      </c>
      <c r="CD142" s="13"/>
      <c r="CE142" s="13"/>
      <c r="CF142" s="12"/>
      <c r="CG142" s="13"/>
      <c r="CH142" s="13"/>
      <c r="CI142" s="13"/>
      <c r="CJ142" s="13"/>
      <c r="CK142" s="13"/>
      <c r="CL142" s="12"/>
      <c r="CM142" s="13"/>
      <c r="CN142" s="13"/>
      <c r="CO142" s="13"/>
      <c r="CP142" s="12"/>
    </row>
    <row r="143" spans="1:94" x14ac:dyDescent="0.2">
      <c r="A143" s="12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4" t="str">
        <f t="shared" si="112"/>
        <v>✓ Clear to Score</v>
      </c>
      <c r="U143" s="13"/>
      <c r="V143" s="13"/>
      <c r="W143" s="14" t="str">
        <f t="shared" si="113"/>
        <v/>
      </c>
      <c r="X143" s="13"/>
      <c r="Y143" s="14" t="str">
        <f t="shared" si="114"/>
        <v/>
      </c>
      <c r="Z143" s="13"/>
      <c r="AA143" s="14" t="str">
        <f t="shared" si="115"/>
        <v/>
      </c>
      <c r="AB143" s="13"/>
      <c r="AC143" s="14" t="str">
        <f t="shared" si="116"/>
        <v/>
      </c>
      <c r="AD143" s="13"/>
      <c r="AE143" s="14">
        <f t="shared" si="117"/>
        <v>0</v>
      </c>
      <c r="AF143" s="14">
        <f t="shared" si="118"/>
        <v>0</v>
      </c>
      <c r="AG143" s="13"/>
      <c r="AH143" s="14" t="str">
        <f t="shared" si="119"/>
        <v/>
      </c>
      <c r="AI143" s="13"/>
      <c r="AJ143" s="14" t="str">
        <f t="shared" si="120"/>
        <v/>
      </c>
      <c r="AK143" s="13"/>
      <c r="AL143" s="14" t="str">
        <f t="shared" si="121"/>
        <v/>
      </c>
      <c r="AM143" s="13"/>
      <c r="AN143" s="14" t="str">
        <f t="shared" si="122"/>
        <v/>
      </c>
      <c r="AO143" s="13"/>
      <c r="AP143" s="14" t="str">
        <f t="shared" si="123"/>
        <v/>
      </c>
      <c r="AQ143" s="13"/>
      <c r="AR143" s="14">
        <f t="shared" si="124"/>
        <v>0</v>
      </c>
      <c r="AS143" s="13"/>
      <c r="AT143" s="14">
        <f t="shared" si="125"/>
        <v>0</v>
      </c>
      <c r="AU143" s="14">
        <f t="shared" si="126"/>
        <v>0</v>
      </c>
      <c r="AV143" s="13"/>
      <c r="AW143" s="14" t="str">
        <f t="shared" si="127"/>
        <v/>
      </c>
      <c r="AX143" s="13"/>
      <c r="AY143" s="14" t="str">
        <f t="shared" si="128"/>
        <v/>
      </c>
      <c r="AZ143" s="13"/>
      <c r="BA143" s="14" t="str">
        <f t="shared" si="129"/>
        <v/>
      </c>
      <c r="BB143" s="13"/>
      <c r="BC143" s="14">
        <f t="shared" si="130"/>
        <v>0</v>
      </c>
      <c r="BD143" s="14">
        <f t="shared" si="131"/>
        <v>0</v>
      </c>
      <c r="BE143" s="13"/>
      <c r="BF143" s="14" t="str">
        <f t="shared" si="132"/>
        <v/>
      </c>
      <c r="BG143" s="13"/>
      <c r="BH143" s="14" t="str">
        <f t="shared" si="133"/>
        <v/>
      </c>
      <c r="BI143" s="14">
        <f t="shared" si="134"/>
        <v>0</v>
      </c>
      <c r="BJ143" s="14">
        <f t="shared" si="135"/>
        <v>0</v>
      </c>
      <c r="BK143" s="14" t="str">
        <f t="shared" si="136"/>
        <v>LOW RISK</v>
      </c>
      <c r="BL143" s="14" t="str">
        <f t="shared" si="137"/>
        <v/>
      </c>
      <c r="BM143" s="13"/>
      <c r="BN143" s="12"/>
      <c r="BO143" s="13"/>
      <c r="BP143" s="13"/>
      <c r="BQ143" s="13"/>
      <c r="BR143" s="13"/>
      <c r="BS143" s="13"/>
      <c r="BT143" s="13"/>
      <c r="BU143" s="14" t="str">
        <f t="shared" si="138"/>
        <v/>
      </c>
      <c r="BV143" s="13"/>
      <c r="BW143" s="13"/>
      <c r="BX143" s="13"/>
      <c r="BY143" s="13"/>
      <c r="BZ143" s="13"/>
      <c r="CA143" s="13"/>
      <c r="CB143" s="13"/>
      <c r="CC143" s="14" t="str">
        <f t="shared" si="139"/>
        <v/>
      </c>
      <c r="CD143" s="13"/>
      <c r="CE143" s="13"/>
      <c r="CF143" s="12"/>
      <c r="CG143" s="13"/>
      <c r="CH143" s="13"/>
      <c r="CI143" s="13"/>
      <c r="CJ143" s="13"/>
      <c r="CK143" s="13"/>
      <c r="CL143" s="12"/>
      <c r="CM143" s="13"/>
      <c r="CN143" s="13"/>
      <c r="CO143" s="13"/>
      <c r="CP143" s="12"/>
    </row>
    <row r="144" spans="1:94" x14ac:dyDescent="0.2">
      <c r="A144" s="12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4" t="str">
        <f t="shared" si="112"/>
        <v>✓ Clear to Score</v>
      </c>
      <c r="U144" s="13"/>
      <c r="V144" s="13"/>
      <c r="W144" s="14" t="str">
        <f t="shared" si="113"/>
        <v/>
      </c>
      <c r="X144" s="13"/>
      <c r="Y144" s="14" t="str">
        <f t="shared" si="114"/>
        <v/>
      </c>
      <c r="Z144" s="13"/>
      <c r="AA144" s="14" t="str">
        <f t="shared" si="115"/>
        <v/>
      </c>
      <c r="AB144" s="13"/>
      <c r="AC144" s="14" t="str">
        <f t="shared" si="116"/>
        <v/>
      </c>
      <c r="AD144" s="13"/>
      <c r="AE144" s="14">
        <f t="shared" si="117"/>
        <v>0</v>
      </c>
      <c r="AF144" s="14">
        <f t="shared" si="118"/>
        <v>0</v>
      </c>
      <c r="AG144" s="13"/>
      <c r="AH144" s="14" t="str">
        <f t="shared" si="119"/>
        <v/>
      </c>
      <c r="AI144" s="13"/>
      <c r="AJ144" s="14" t="str">
        <f t="shared" si="120"/>
        <v/>
      </c>
      <c r="AK144" s="13"/>
      <c r="AL144" s="14" t="str">
        <f t="shared" si="121"/>
        <v/>
      </c>
      <c r="AM144" s="13"/>
      <c r="AN144" s="14" t="str">
        <f t="shared" si="122"/>
        <v/>
      </c>
      <c r="AO144" s="13"/>
      <c r="AP144" s="14" t="str">
        <f t="shared" si="123"/>
        <v/>
      </c>
      <c r="AQ144" s="13"/>
      <c r="AR144" s="14">
        <f t="shared" si="124"/>
        <v>0</v>
      </c>
      <c r="AS144" s="13"/>
      <c r="AT144" s="14">
        <f t="shared" si="125"/>
        <v>0</v>
      </c>
      <c r="AU144" s="14">
        <f t="shared" si="126"/>
        <v>0</v>
      </c>
      <c r="AV144" s="13"/>
      <c r="AW144" s="14" t="str">
        <f t="shared" si="127"/>
        <v/>
      </c>
      <c r="AX144" s="13"/>
      <c r="AY144" s="14" t="str">
        <f t="shared" si="128"/>
        <v/>
      </c>
      <c r="AZ144" s="13"/>
      <c r="BA144" s="14" t="str">
        <f t="shared" si="129"/>
        <v/>
      </c>
      <c r="BB144" s="13"/>
      <c r="BC144" s="14">
        <f t="shared" si="130"/>
        <v>0</v>
      </c>
      <c r="BD144" s="14">
        <f t="shared" si="131"/>
        <v>0</v>
      </c>
      <c r="BE144" s="13"/>
      <c r="BF144" s="14" t="str">
        <f t="shared" si="132"/>
        <v/>
      </c>
      <c r="BG144" s="13"/>
      <c r="BH144" s="14" t="str">
        <f t="shared" si="133"/>
        <v/>
      </c>
      <c r="BI144" s="14">
        <f t="shared" si="134"/>
        <v>0</v>
      </c>
      <c r="BJ144" s="14">
        <f t="shared" si="135"/>
        <v>0</v>
      </c>
      <c r="BK144" s="14" t="str">
        <f t="shared" si="136"/>
        <v>LOW RISK</v>
      </c>
      <c r="BL144" s="14" t="str">
        <f t="shared" si="137"/>
        <v/>
      </c>
      <c r="BM144" s="13"/>
      <c r="BN144" s="12"/>
      <c r="BO144" s="13"/>
      <c r="BP144" s="13"/>
      <c r="BQ144" s="13"/>
      <c r="BR144" s="13"/>
      <c r="BS144" s="13"/>
      <c r="BT144" s="13"/>
      <c r="BU144" s="14" t="str">
        <f t="shared" si="138"/>
        <v/>
      </c>
      <c r="BV144" s="13"/>
      <c r="BW144" s="13"/>
      <c r="BX144" s="13"/>
      <c r="BY144" s="13"/>
      <c r="BZ144" s="13"/>
      <c r="CA144" s="13"/>
      <c r="CB144" s="13"/>
      <c r="CC144" s="14" t="str">
        <f t="shared" si="139"/>
        <v/>
      </c>
      <c r="CD144" s="13"/>
      <c r="CE144" s="13"/>
      <c r="CF144" s="12"/>
      <c r="CG144" s="13"/>
      <c r="CH144" s="13"/>
      <c r="CI144" s="13"/>
      <c r="CJ144" s="13"/>
      <c r="CK144" s="13"/>
      <c r="CL144" s="12"/>
      <c r="CM144" s="13"/>
      <c r="CN144" s="13"/>
      <c r="CO144" s="13"/>
      <c r="CP144" s="12"/>
    </row>
    <row r="145" spans="1:94" x14ac:dyDescent="0.2">
      <c r="A145" s="12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4" t="str">
        <f t="shared" si="112"/>
        <v>✓ Clear to Score</v>
      </c>
      <c r="U145" s="13"/>
      <c r="V145" s="13"/>
      <c r="W145" s="14" t="str">
        <f t="shared" si="113"/>
        <v/>
      </c>
      <c r="X145" s="13"/>
      <c r="Y145" s="14" t="str">
        <f t="shared" si="114"/>
        <v/>
      </c>
      <c r="Z145" s="13"/>
      <c r="AA145" s="14" t="str">
        <f t="shared" si="115"/>
        <v/>
      </c>
      <c r="AB145" s="13"/>
      <c r="AC145" s="14" t="str">
        <f t="shared" si="116"/>
        <v/>
      </c>
      <c r="AD145" s="13"/>
      <c r="AE145" s="14">
        <f t="shared" si="117"/>
        <v>0</v>
      </c>
      <c r="AF145" s="14">
        <f t="shared" si="118"/>
        <v>0</v>
      </c>
      <c r="AG145" s="13"/>
      <c r="AH145" s="14" t="str">
        <f t="shared" si="119"/>
        <v/>
      </c>
      <c r="AI145" s="13"/>
      <c r="AJ145" s="14" t="str">
        <f t="shared" si="120"/>
        <v/>
      </c>
      <c r="AK145" s="13"/>
      <c r="AL145" s="14" t="str">
        <f t="shared" si="121"/>
        <v/>
      </c>
      <c r="AM145" s="13"/>
      <c r="AN145" s="14" t="str">
        <f t="shared" si="122"/>
        <v/>
      </c>
      <c r="AO145" s="13"/>
      <c r="AP145" s="14" t="str">
        <f t="shared" si="123"/>
        <v/>
      </c>
      <c r="AQ145" s="13"/>
      <c r="AR145" s="14">
        <f t="shared" si="124"/>
        <v>0</v>
      </c>
      <c r="AS145" s="13"/>
      <c r="AT145" s="14">
        <f t="shared" si="125"/>
        <v>0</v>
      </c>
      <c r="AU145" s="14">
        <f t="shared" si="126"/>
        <v>0</v>
      </c>
      <c r="AV145" s="13"/>
      <c r="AW145" s="14" t="str">
        <f t="shared" si="127"/>
        <v/>
      </c>
      <c r="AX145" s="13"/>
      <c r="AY145" s="14" t="str">
        <f t="shared" si="128"/>
        <v/>
      </c>
      <c r="AZ145" s="13"/>
      <c r="BA145" s="14" t="str">
        <f t="shared" si="129"/>
        <v/>
      </c>
      <c r="BB145" s="13"/>
      <c r="BC145" s="14">
        <f t="shared" si="130"/>
        <v>0</v>
      </c>
      <c r="BD145" s="14">
        <f t="shared" si="131"/>
        <v>0</v>
      </c>
      <c r="BE145" s="13"/>
      <c r="BF145" s="14" t="str">
        <f t="shared" si="132"/>
        <v/>
      </c>
      <c r="BG145" s="13"/>
      <c r="BH145" s="14" t="str">
        <f t="shared" si="133"/>
        <v/>
      </c>
      <c r="BI145" s="14">
        <f t="shared" si="134"/>
        <v>0</v>
      </c>
      <c r="BJ145" s="14">
        <f t="shared" si="135"/>
        <v>0</v>
      </c>
      <c r="BK145" s="14" t="str">
        <f t="shared" si="136"/>
        <v>LOW RISK</v>
      </c>
      <c r="BL145" s="14" t="str">
        <f t="shared" si="137"/>
        <v/>
      </c>
      <c r="BM145" s="13"/>
      <c r="BN145" s="12"/>
      <c r="BO145" s="13"/>
      <c r="BP145" s="13"/>
      <c r="BQ145" s="13"/>
      <c r="BR145" s="13"/>
      <c r="BS145" s="13"/>
      <c r="BT145" s="13"/>
      <c r="BU145" s="14" t="str">
        <f t="shared" si="138"/>
        <v/>
      </c>
      <c r="BV145" s="13"/>
      <c r="BW145" s="13"/>
      <c r="BX145" s="13"/>
      <c r="BY145" s="13"/>
      <c r="BZ145" s="13"/>
      <c r="CA145" s="13"/>
      <c r="CB145" s="13"/>
      <c r="CC145" s="14" t="str">
        <f t="shared" si="139"/>
        <v/>
      </c>
      <c r="CD145" s="13"/>
      <c r="CE145" s="13"/>
      <c r="CF145" s="12"/>
      <c r="CG145" s="13"/>
      <c r="CH145" s="13"/>
      <c r="CI145" s="13"/>
      <c r="CJ145" s="13"/>
      <c r="CK145" s="13"/>
      <c r="CL145" s="12"/>
      <c r="CM145" s="13"/>
      <c r="CN145" s="13"/>
      <c r="CO145" s="13"/>
      <c r="CP145" s="12"/>
    </row>
    <row r="146" spans="1:94" x14ac:dyDescent="0.2">
      <c r="A146" s="12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4" t="str">
        <f t="shared" si="112"/>
        <v>✓ Clear to Score</v>
      </c>
      <c r="U146" s="13"/>
      <c r="V146" s="13"/>
      <c r="W146" s="14" t="str">
        <f t="shared" si="113"/>
        <v/>
      </c>
      <c r="X146" s="13"/>
      <c r="Y146" s="14" t="str">
        <f t="shared" si="114"/>
        <v/>
      </c>
      <c r="Z146" s="13"/>
      <c r="AA146" s="14" t="str">
        <f t="shared" si="115"/>
        <v/>
      </c>
      <c r="AB146" s="13"/>
      <c r="AC146" s="14" t="str">
        <f t="shared" si="116"/>
        <v/>
      </c>
      <c r="AD146" s="13"/>
      <c r="AE146" s="14">
        <f t="shared" si="117"/>
        <v>0</v>
      </c>
      <c r="AF146" s="14">
        <f t="shared" si="118"/>
        <v>0</v>
      </c>
      <c r="AG146" s="13"/>
      <c r="AH146" s="14" t="str">
        <f t="shared" si="119"/>
        <v/>
      </c>
      <c r="AI146" s="13"/>
      <c r="AJ146" s="14" t="str">
        <f t="shared" si="120"/>
        <v/>
      </c>
      <c r="AK146" s="13"/>
      <c r="AL146" s="14" t="str">
        <f t="shared" si="121"/>
        <v/>
      </c>
      <c r="AM146" s="13"/>
      <c r="AN146" s="14" t="str">
        <f t="shared" si="122"/>
        <v/>
      </c>
      <c r="AO146" s="13"/>
      <c r="AP146" s="14" t="str">
        <f t="shared" si="123"/>
        <v/>
      </c>
      <c r="AQ146" s="13"/>
      <c r="AR146" s="14">
        <f t="shared" si="124"/>
        <v>0</v>
      </c>
      <c r="AS146" s="13"/>
      <c r="AT146" s="14">
        <f t="shared" si="125"/>
        <v>0</v>
      </c>
      <c r="AU146" s="14">
        <f t="shared" si="126"/>
        <v>0</v>
      </c>
      <c r="AV146" s="13"/>
      <c r="AW146" s="14" t="str">
        <f t="shared" si="127"/>
        <v/>
      </c>
      <c r="AX146" s="13"/>
      <c r="AY146" s="14" t="str">
        <f t="shared" si="128"/>
        <v/>
      </c>
      <c r="AZ146" s="13"/>
      <c r="BA146" s="14" t="str">
        <f t="shared" si="129"/>
        <v/>
      </c>
      <c r="BB146" s="13"/>
      <c r="BC146" s="14">
        <f t="shared" si="130"/>
        <v>0</v>
      </c>
      <c r="BD146" s="14">
        <f t="shared" si="131"/>
        <v>0</v>
      </c>
      <c r="BE146" s="13"/>
      <c r="BF146" s="14" t="str">
        <f t="shared" si="132"/>
        <v/>
      </c>
      <c r="BG146" s="13"/>
      <c r="BH146" s="14" t="str">
        <f t="shared" si="133"/>
        <v/>
      </c>
      <c r="BI146" s="14">
        <f t="shared" si="134"/>
        <v>0</v>
      </c>
      <c r="BJ146" s="14">
        <f t="shared" si="135"/>
        <v>0</v>
      </c>
      <c r="BK146" s="14" t="str">
        <f t="shared" si="136"/>
        <v>LOW RISK</v>
      </c>
      <c r="BL146" s="14" t="str">
        <f t="shared" si="137"/>
        <v/>
      </c>
      <c r="BM146" s="13"/>
      <c r="BN146" s="12"/>
      <c r="BO146" s="13"/>
      <c r="BP146" s="13"/>
      <c r="BQ146" s="13"/>
      <c r="BR146" s="13"/>
      <c r="BS146" s="13"/>
      <c r="BT146" s="13"/>
      <c r="BU146" s="14" t="str">
        <f t="shared" si="138"/>
        <v/>
      </c>
      <c r="BV146" s="13"/>
      <c r="BW146" s="13"/>
      <c r="BX146" s="13"/>
      <c r="BY146" s="13"/>
      <c r="BZ146" s="13"/>
      <c r="CA146" s="13"/>
      <c r="CB146" s="13"/>
      <c r="CC146" s="14" t="str">
        <f t="shared" si="139"/>
        <v/>
      </c>
      <c r="CD146" s="13"/>
      <c r="CE146" s="13"/>
      <c r="CF146" s="12"/>
      <c r="CG146" s="13"/>
      <c r="CH146" s="13"/>
      <c r="CI146" s="13"/>
      <c r="CJ146" s="13"/>
      <c r="CK146" s="13"/>
      <c r="CL146" s="12"/>
      <c r="CM146" s="13"/>
      <c r="CN146" s="13"/>
      <c r="CO146" s="13"/>
      <c r="CP146" s="12"/>
    </row>
    <row r="147" spans="1:94" x14ac:dyDescent="0.2">
      <c r="A147" s="12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4" t="str">
        <f t="shared" si="112"/>
        <v>✓ Clear to Score</v>
      </c>
      <c r="U147" s="13"/>
      <c r="V147" s="13"/>
      <c r="W147" s="14" t="str">
        <f t="shared" si="113"/>
        <v/>
      </c>
      <c r="X147" s="13"/>
      <c r="Y147" s="14" t="str">
        <f t="shared" si="114"/>
        <v/>
      </c>
      <c r="Z147" s="13"/>
      <c r="AA147" s="14" t="str">
        <f t="shared" si="115"/>
        <v/>
      </c>
      <c r="AB147" s="13"/>
      <c r="AC147" s="14" t="str">
        <f t="shared" si="116"/>
        <v/>
      </c>
      <c r="AD147" s="13"/>
      <c r="AE147" s="14">
        <f t="shared" si="117"/>
        <v>0</v>
      </c>
      <c r="AF147" s="14">
        <f t="shared" si="118"/>
        <v>0</v>
      </c>
      <c r="AG147" s="13"/>
      <c r="AH147" s="14" t="str">
        <f t="shared" si="119"/>
        <v/>
      </c>
      <c r="AI147" s="13"/>
      <c r="AJ147" s="14" t="str">
        <f t="shared" si="120"/>
        <v/>
      </c>
      <c r="AK147" s="13"/>
      <c r="AL147" s="14" t="str">
        <f t="shared" si="121"/>
        <v/>
      </c>
      <c r="AM147" s="13"/>
      <c r="AN147" s="14" t="str">
        <f t="shared" si="122"/>
        <v/>
      </c>
      <c r="AO147" s="13"/>
      <c r="AP147" s="14" t="str">
        <f t="shared" si="123"/>
        <v/>
      </c>
      <c r="AQ147" s="13"/>
      <c r="AR147" s="14">
        <f t="shared" si="124"/>
        <v>0</v>
      </c>
      <c r="AS147" s="13"/>
      <c r="AT147" s="14">
        <f t="shared" si="125"/>
        <v>0</v>
      </c>
      <c r="AU147" s="14">
        <f t="shared" si="126"/>
        <v>0</v>
      </c>
      <c r="AV147" s="13"/>
      <c r="AW147" s="14" t="str">
        <f t="shared" si="127"/>
        <v/>
      </c>
      <c r="AX147" s="13"/>
      <c r="AY147" s="14" t="str">
        <f t="shared" si="128"/>
        <v/>
      </c>
      <c r="AZ147" s="13"/>
      <c r="BA147" s="14" t="str">
        <f t="shared" si="129"/>
        <v/>
      </c>
      <c r="BB147" s="13"/>
      <c r="BC147" s="14">
        <f t="shared" si="130"/>
        <v>0</v>
      </c>
      <c r="BD147" s="14">
        <f t="shared" si="131"/>
        <v>0</v>
      </c>
      <c r="BE147" s="13"/>
      <c r="BF147" s="14" t="str">
        <f t="shared" si="132"/>
        <v/>
      </c>
      <c r="BG147" s="13"/>
      <c r="BH147" s="14" t="str">
        <f t="shared" si="133"/>
        <v/>
      </c>
      <c r="BI147" s="14">
        <f t="shared" si="134"/>
        <v>0</v>
      </c>
      <c r="BJ147" s="14">
        <f t="shared" si="135"/>
        <v>0</v>
      </c>
      <c r="BK147" s="14" t="str">
        <f t="shared" si="136"/>
        <v>LOW RISK</v>
      </c>
      <c r="BL147" s="14" t="str">
        <f t="shared" si="137"/>
        <v/>
      </c>
      <c r="BM147" s="13"/>
      <c r="BN147" s="12"/>
      <c r="BO147" s="13"/>
      <c r="BP147" s="13"/>
      <c r="BQ147" s="13"/>
      <c r="BR147" s="13"/>
      <c r="BS147" s="13"/>
      <c r="BT147" s="13"/>
      <c r="BU147" s="14" t="str">
        <f t="shared" si="138"/>
        <v/>
      </c>
      <c r="BV147" s="13"/>
      <c r="BW147" s="13"/>
      <c r="BX147" s="13"/>
      <c r="BY147" s="13"/>
      <c r="BZ147" s="13"/>
      <c r="CA147" s="13"/>
      <c r="CB147" s="13"/>
      <c r="CC147" s="14" t="str">
        <f t="shared" si="139"/>
        <v/>
      </c>
      <c r="CD147" s="13"/>
      <c r="CE147" s="13"/>
      <c r="CF147" s="12"/>
      <c r="CG147" s="13"/>
      <c r="CH147" s="13"/>
      <c r="CI147" s="13"/>
      <c r="CJ147" s="13"/>
      <c r="CK147" s="13"/>
      <c r="CL147" s="12"/>
      <c r="CM147" s="13"/>
      <c r="CN147" s="13"/>
      <c r="CO147" s="13"/>
      <c r="CP147" s="12"/>
    </row>
    <row r="148" spans="1:94" x14ac:dyDescent="0.2">
      <c r="A148" s="12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4" t="str">
        <f t="shared" si="112"/>
        <v>✓ Clear to Score</v>
      </c>
      <c r="U148" s="13"/>
      <c r="V148" s="13"/>
      <c r="W148" s="14" t="str">
        <f t="shared" si="113"/>
        <v/>
      </c>
      <c r="X148" s="13"/>
      <c r="Y148" s="14" t="str">
        <f t="shared" si="114"/>
        <v/>
      </c>
      <c r="Z148" s="13"/>
      <c r="AA148" s="14" t="str">
        <f t="shared" si="115"/>
        <v/>
      </c>
      <c r="AB148" s="13"/>
      <c r="AC148" s="14" t="str">
        <f t="shared" si="116"/>
        <v/>
      </c>
      <c r="AD148" s="13"/>
      <c r="AE148" s="14">
        <f t="shared" si="117"/>
        <v>0</v>
      </c>
      <c r="AF148" s="14">
        <f t="shared" si="118"/>
        <v>0</v>
      </c>
      <c r="AG148" s="13"/>
      <c r="AH148" s="14" t="str">
        <f t="shared" si="119"/>
        <v/>
      </c>
      <c r="AI148" s="13"/>
      <c r="AJ148" s="14" t="str">
        <f t="shared" si="120"/>
        <v/>
      </c>
      <c r="AK148" s="13"/>
      <c r="AL148" s="14" t="str">
        <f t="shared" si="121"/>
        <v/>
      </c>
      <c r="AM148" s="13"/>
      <c r="AN148" s="14" t="str">
        <f t="shared" si="122"/>
        <v/>
      </c>
      <c r="AO148" s="13"/>
      <c r="AP148" s="14" t="str">
        <f t="shared" si="123"/>
        <v/>
      </c>
      <c r="AQ148" s="13"/>
      <c r="AR148" s="14">
        <f t="shared" si="124"/>
        <v>0</v>
      </c>
      <c r="AS148" s="13"/>
      <c r="AT148" s="14">
        <f t="shared" si="125"/>
        <v>0</v>
      </c>
      <c r="AU148" s="14">
        <f t="shared" si="126"/>
        <v>0</v>
      </c>
      <c r="AV148" s="13"/>
      <c r="AW148" s="14" t="str">
        <f t="shared" si="127"/>
        <v/>
      </c>
      <c r="AX148" s="13"/>
      <c r="AY148" s="14" t="str">
        <f t="shared" si="128"/>
        <v/>
      </c>
      <c r="AZ148" s="13"/>
      <c r="BA148" s="14" t="str">
        <f t="shared" si="129"/>
        <v/>
      </c>
      <c r="BB148" s="13"/>
      <c r="BC148" s="14">
        <f t="shared" si="130"/>
        <v>0</v>
      </c>
      <c r="BD148" s="14">
        <f t="shared" si="131"/>
        <v>0</v>
      </c>
      <c r="BE148" s="13"/>
      <c r="BF148" s="14" t="str">
        <f t="shared" si="132"/>
        <v/>
      </c>
      <c r="BG148" s="13"/>
      <c r="BH148" s="14" t="str">
        <f t="shared" si="133"/>
        <v/>
      </c>
      <c r="BI148" s="14">
        <f t="shared" si="134"/>
        <v>0</v>
      </c>
      <c r="BJ148" s="14">
        <f t="shared" si="135"/>
        <v>0</v>
      </c>
      <c r="BK148" s="14" t="str">
        <f t="shared" si="136"/>
        <v>LOW RISK</v>
      </c>
      <c r="BL148" s="14" t="str">
        <f t="shared" si="137"/>
        <v/>
      </c>
      <c r="BM148" s="13"/>
      <c r="BN148" s="12"/>
      <c r="BO148" s="13"/>
      <c r="BP148" s="13"/>
      <c r="BQ148" s="13"/>
      <c r="BR148" s="13"/>
      <c r="BS148" s="13"/>
      <c r="BT148" s="13"/>
      <c r="BU148" s="14" t="str">
        <f t="shared" si="138"/>
        <v/>
      </c>
      <c r="BV148" s="13"/>
      <c r="BW148" s="13"/>
      <c r="BX148" s="13"/>
      <c r="BY148" s="13"/>
      <c r="BZ148" s="13"/>
      <c r="CA148" s="13"/>
      <c r="CB148" s="13"/>
      <c r="CC148" s="14" t="str">
        <f t="shared" si="139"/>
        <v/>
      </c>
      <c r="CD148" s="13"/>
      <c r="CE148" s="13"/>
      <c r="CF148" s="12"/>
      <c r="CG148" s="13"/>
      <c r="CH148" s="13"/>
      <c r="CI148" s="13"/>
      <c r="CJ148" s="13"/>
      <c r="CK148" s="13"/>
      <c r="CL148" s="12"/>
      <c r="CM148" s="13"/>
      <c r="CN148" s="13"/>
      <c r="CO148" s="13"/>
      <c r="CP148" s="12"/>
    </row>
    <row r="149" spans="1:94" x14ac:dyDescent="0.2">
      <c r="A149" s="12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4" t="str">
        <f t="shared" si="112"/>
        <v>✓ Clear to Score</v>
      </c>
      <c r="U149" s="13"/>
      <c r="V149" s="13"/>
      <c r="W149" s="14" t="str">
        <f t="shared" si="113"/>
        <v/>
      </c>
      <c r="X149" s="13"/>
      <c r="Y149" s="14" t="str">
        <f t="shared" si="114"/>
        <v/>
      </c>
      <c r="Z149" s="13"/>
      <c r="AA149" s="14" t="str">
        <f t="shared" si="115"/>
        <v/>
      </c>
      <c r="AB149" s="13"/>
      <c r="AC149" s="14" t="str">
        <f t="shared" si="116"/>
        <v/>
      </c>
      <c r="AD149" s="13"/>
      <c r="AE149" s="14">
        <f t="shared" si="117"/>
        <v>0</v>
      </c>
      <c r="AF149" s="14">
        <f t="shared" si="118"/>
        <v>0</v>
      </c>
      <c r="AG149" s="13"/>
      <c r="AH149" s="14" t="str">
        <f t="shared" si="119"/>
        <v/>
      </c>
      <c r="AI149" s="13"/>
      <c r="AJ149" s="14" t="str">
        <f t="shared" si="120"/>
        <v/>
      </c>
      <c r="AK149" s="13"/>
      <c r="AL149" s="14" t="str">
        <f t="shared" si="121"/>
        <v/>
      </c>
      <c r="AM149" s="13"/>
      <c r="AN149" s="14" t="str">
        <f t="shared" si="122"/>
        <v/>
      </c>
      <c r="AO149" s="13"/>
      <c r="AP149" s="14" t="str">
        <f t="shared" si="123"/>
        <v/>
      </c>
      <c r="AQ149" s="13"/>
      <c r="AR149" s="14">
        <f t="shared" si="124"/>
        <v>0</v>
      </c>
      <c r="AS149" s="13"/>
      <c r="AT149" s="14">
        <f t="shared" si="125"/>
        <v>0</v>
      </c>
      <c r="AU149" s="14">
        <f t="shared" si="126"/>
        <v>0</v>
      </c>
      <c r="AV149" s="13"/>
      <c r="AW149" s="14" t="str">
        <f t="shared" si="127"/>
        <v/>
      </c>
      <c r="AX149" s="13"/>
      <c r="AY149" s="14" t="str">
        <f t="shared" si="128"/>
        <v/>
      </c>
      <c r="AZ149" s="13"/>
      <c r="BA149" s="14" t="str">
        <f t="shared" si="129"/>
        <v/>
      </c>
      <c r="BB149" s="13"/>
      <c r="BC149" s="14">
        <f t="shared" si="130"/>
        <v>0</v>
      </c>
      <c r="BD149" s="14">
        <f t="shared" si="131"/>
        <v>0</v>
      </c>
      <c r="BE149" s="13"/>
      <c r="BF149" s="14" t="str">
        <f t="shared" si="132"/>
        <v/>
      </c>
      <c r="BG149" s="13"/>
      <c r="BH149" s="14" t="str">
        <f t="shared" si="133"/>
        <v/>
      </c>
      <c r="BI149" s="14">
        <f t="shared" si="134"/>
        <v>0</v>
      </c>
      <c r="BJ149" s="14">
        <f t="shared" si="135"/>
        <v>0</v>
      </c>
      <c r="BK149" s="14" t="str">
        <f t="shared" si="136"/>
        <v>LOW RISK</v>
      </c>
      <c r="BL149" s="14" t="str">
        <f t="shared" si="137"/>
        <v/>
      </c>
      <c r="BM149" s="13"/>
      <c r="BN149" s="12"/>
      <c r="BO149" s="13"/>
      <c r="BP149" s="13"/>
      <c r="BQ149" s="13"/>
      <c r="BR149" s="13"/>
      <c r="BS149" s="13"/>
      <c r="BT149" s="13"/>
      <c r="BU149" s="14" t="str">
        <f t="shared" si="138"/>
        <v/>
      </c>
      <c r="BV149" s="13"/>
      <c r="BW149" s="13"/>
      <c r="BX149" s="13"/>
      <c r="BY149" s="13"/>
      <c r="BZ149" s="13"/>
      <c r="CA149" s="13"/>
      <c r="CB149" s="13"/>
      <c r="CC149" s="14" t="str">
        <f t="shared" si="139"/>
        <v/>
      </c>
      <c r="CD149" s="13"/>
      <c r="CE149" s="13"/>
      <c r="CF149" s="12"/>
      <c r="CG149" s="13"/>
      <c r="CH149" s="13"/>
      <c r="CI149" s="13"/>
      <c r="CJ149" s="13"/>
      <c r="CK149" s="13"/>
      <c r="CL149" s="12"/>
      <c r="CM149" s="13"/>
      <c r="CN149" s="13"/>
      <c r="CO149" s="13"/>
      <c r="CP149" s="12"/>
    </row>
    <row r="150" spans="1:94" x14ac:dyDescent="0.2">
      <c r="A150" s="12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4" t="str">
        <f t="shared" si="112"/>
        <v>✓ Clear to Score</v>
      </c>
      <c r="U150" s="13"/>
      <c r="V150" s="13"/>
      <c r="W150" s="14" t="str">
        <f t="shared" si="113"/>
        <v/>
      </c>
      <c r="X150" s="13"/>
      <c r="Y150" s="14" t="str">
        <f t="shared" si="114"/>
        <v/>
      </c>
      <c r="Z150" s="13"/>
      <c r="AA150" s="14" t="str">
        <f t="shared" si="115"/>
        <v/>
      </c>
      <c r="AB150" s="13"/>
      <c r="AC150" s="14" t="str">
        <f t="shared" si="116"/>
        <v/>
      </c>
      <c r="AD150" s="13"/>
      <c r="AE150" s="14">
        <f t="shared" si="117"/>
        <v>0</v>
      </c>
      <c r="AF150" s="14">
        <f t="shared" si="118"/>
        <v>0</v>
      </c>
      <c r="AG150" s="13"/>
      <c r="AH150" s="14" t="str">
        <f t="shared" si="119"/>
        <v/>
      </c>
      <c r="AI150" s="13"/>
      <c r="AJ150" s="14" t="str">
        <f t="shared" si="120"/>
        <v/>
      </c>
      <c r="AK150" s="13"/>
      <c r="AL150" s="14" t="str">
        <f t="shared" si="121"/>
        <v/>
      </c>
      <c r="AM150" s="13"/>
      <c r="AN150" s="14" t="str">
        <f t="shared" si="122"/>
        <v/>
      </c>
      <c r="AO150" s="13"/>
      <c r="AP150" s="14" t="str">
        <f t="shared" si="123"/>
        <v/>
      </c>
      <c r="AQ150" s="13"/>
      <c r="AR150" s="14">
        <f t="shared" si="124"/>
        <v>0</v>
      </c>
      <c r="AS150" s="13"/>
      <c r="AT150" s="14">
        <f t="shared" si="125"/>
        <v>0</v>
      </c>
      <c r="AU150" s="14">
        <f t="shared" si="126"/>
        <v>0</v>
      </c>
      <c r="AV150" s="13"/>
      <c r="AW150" s="14" t="str">
        <f t="shared" si="127"/>
        <v/>
      </c>
      <c r="AX150" s="13"/>
      <c r="AY150" s="14" t="str">
        <f t="shared" si="128"/>
        <v/>
      </c>
      <c r="AZ150" s="13"/>
      <c r="BA150" s="14" t="str">
        <f t="shared" si="129"/>
        <v/>
      </c>
      <c r="BB150" s="13"/>
      <c r="BC150" s="14">
        <f t="shared" si="130"/>
        <v>0</v>
      </c>
      <c r="BD150" s="14">
        <f t="shared" si="131"/>
        <v>0</v>
      </c>
      <c r="BE150" s="13"/>
      <c r="BF150" s="14" t="str">
        <f t="shared" si="132"/>
        <v/>
      </c>
      <c r="BG150" s="13"/>
      <c r="BH150" s="14" t="str">
        <f t="shared" si="133"/>
        <v/>
      </c>
      <c r="BI150" s="14">
        <f t="shared" si="134"/>
        <v>0</v>
      </c>
      <c r="BJ150" s="14">
        <f t="shared" si="135"/>
        <v>0</v>
      </c>
      <c r="BK150" s="14" t="str">
        <f t="shared" si="136"/>
        <v>LOW RISK</v>
      </c>
      <c r="BL150" s="14" t="str">
        <f t="shared" si="137"/>
        <v/>
      </c>
      <c r="BM150" s="13"/>
      <c r="BN150" s="12"/>
      <c r="BO150" s="13"/>
      <c r="BP150" s="13"/>
      <c r="BQ150" s="13"/>
      <c r="BR150" s="13"/>
      <c r="BS150" s="13"/>
      <c r="BT150" s="13"/>
      <c r="BU150" s="14" t="str">
        <f t="shared" si="138"/>
        <v/>
      </c>
      <c r="BV150" s="13"/>
      <c r="BW150" s="13"/>
      <c r="BX150" s="13"/>
      <c r="BY150" s="13"/>
      <c r="BZ150" s="13"/>
      <c r="CA150" s="13"/>
      <c r="CB150" s="13"/>
      <c r="CC150" s="14" t="str">
        <f t="shared" si="139"/>
        <v/>
      </c>
      <c r="CD150" s="13"/>
      <c r="CE150" s="13"/>
      <c r="CF150" s="12"/>
      <c r="CG150" s="13"/>
      <c r="CH150" s="13"/>
      <c r="CI150" s="13"/>
      <c r="CJ150" s="13"/>
      <c r="CK150" s="13"/>
      <c r="CL150" s="12"/>
      <c r="CM150" s="13"/>
      <c r="CN150" s="13"/>
      <c r="CO150" s="13"/>
      <c r="CP150" s="12"/>
    </row>
    <row r="151" spans="1:94" x14ac:dyDescent="0.2">
      <c r="A151" s="12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4" t="str">
        <f t="shared" si="112"/>
        <v>✓ Clear to Score</v>
      </c>
      <c r="U151" s="13"/>
      <c r="V151" s="13"/>
      <c r="W151" s="14" t="str">
        <f t="shared" si="113"/>
        <v/>
      </c>
      <c r="X151" s="13"/>
      <c r="Y151" s="14" t="str">
        <f t="shared" si="114"/>
        <v/>
      </c>
      <c r="Z151" s="13"/>
      <c r="AA151" s="14" t="str">
        <f t="shared" si="115"/>
        <v/>
      </c>
      <c r="AB151" s="13"/>
      <c r="AC151" s="14" t="str">
        <f t="shared" si="116"/>
        <v/>
      </c>
      <c r="AD151" s="13"/>
      <c r="AE151" s="14">
        <f t="shared" si="117"/>
        <v>0</v>
      </c>
      <c r="AF151" s="14">
        <f t="shared" si="118"/>
        <v>0</v>
      </c>
      <c r="AG151" s="13"/>
      <c r="AH151" s="14" t="str">
        <f t="shared" si="119"/>
        <v/>
      </c>
      <c r="AI151" s="13"/>
      <c r="AJ151" s="14" t="str">
        <f t="shared" si="120"/>
        <v/>
      </c>
      <c r="AK151" s="13"/>
      <c r="AL151" s="14" t="str">
        <f t="shared" si="121"/>
        <v/>
      </c>
      <c r="AM151" s="13"/>
      <c r="AN151" s="14" t="str">
        <f t="shared" si="122"/>
        <v/>
      </c>
      <c r="AO151" s="13"/>
      <c r="AP151" s="14" t="str">
        <f t="shared" si="123"/>
        <v/>
      </c>
      <c r="AQ151" s="13"/>
      <c r="AR151" s="14">
        <f t="shared" si="124"/>
        <v>0</v>
      </c>
      <c r="AS151" s="13"/>
      <c r="AT151" s="14">
        <f t="shared" si="125"/>
        <v>0</v>
      </c>
      <c r="AU151" s="14">
        <f t="shared" si="126"/>
        <v>0</v>
      </c>
      <c r="AV151" s="13"/>
      <c r="AW151" s="14" t="str">
        <f t="shared" si="127"/>
        <v/>
      </c>
      <c r="AX151" s="13"/>
      <c r="AY151" s="14" t="str">
        <f t="shared" si="128"/>
        <v/>
      </c>
      <c r="AZ151" s="13"/>
      <c r="BA151" s="14" t="str">
        <f t="shared" si="129"/>
        <v/>
      </c>
      <c r="BB151" s="13"/>
      <c r="BC151" s="14">
        <f t="shared" si="130"/>
        <v>0</v>
      </c>
      <c r="BD151" s="14">
        <f t="shared" si="131"/>
        <v>0</v>
      </c>
      <c r="BE151" s="13"/>
      <c r="BF151" s="14" t="str">
        <f t="shared" si="132"/>
        <v/>
      </c>
      <c r="BG151" s="13"/>
      <c r="BH151" s="14" t="str">
        <f t="shared" si="133"/>
        <v/>
      </c>
      <c r="BI151" s="14">
        <f t="shared" si="134"/>
        <v>0</v>
      </c>
      <c r="BJ151" s="14">
        <f t="shared" si="135"/>
        <v>0</v>
      </c>
      <c r="BK151" s="14" t="str">
        <f t="shared" si="136"/>
        <v>LOW RISK</v>
      </c>
      <c r="BL151" s="14" t="str">
        <f t="shared" si="137"/>
        <v/>
      </c>
      <c r="BM151" s="13"/>
      <c r="BN151" s="12"/>
      <c r="BO151" s="13"/>
      <c r="BP151" s="13"/>
      <c r="BQ151" s="13"/>
      <c r="BR151" s="13"/>
      <c r="BS151" s="13"/>
      <c r="BT151" s="13"/>
      <c r="BU151" s="14" t="str">
        <f t="shared" si="138"/>
        <v/>
      </c>
      <c r="BV151" s="13"/>
      <c r="BW151" s="13"/>
      <c r="BX151" s="13"/>
      <c r="BY151" s="13"/>
      <c r="BZ151" s="13"/>
      <c r="CA151" s="13"/>
      <c r="CB151" s="13"/>
      <c r="CC151" s="14" t="str">
        <f t="shared" si="139"/>
        <v/>
      </c>
      <c r="CD151" s="13"/>
      <c r="CE151" s="13"/>
      <c r="CF151" s="12"/>
      <c r="CG151" s="13"/>
      <c r="CH151" s="13"/>
      <c r="CI151" s="13"/>
      <c r="CJ151" s="13"/>
      <c r="CK151" s="13"/>
      <c r="CL151" s="12"/>
      <c r="CM151" s="13"/>
      <c r="CN151" s="13"/>
      <c r="CO151" s="13"/>
      <c r="CP151" s="12"/>
    </row>
    <row r="152" spans="1:94" x14ac:dyDescent="0.2">
      <c r="A152" s="12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4" t="str">
        <f t="shared" si="112"/>
        <v>✓ Clear to Score</v>
      </c>
      <c r="U152" s="13"/>
      <c r="V152" s="13"/>
      <c r="W152" s="14" t="str">
        <f t="shared" si="113"/>
        <v/>
      </c>
      <c r="X152" s="13"/>
      <c r="Y152" s="14" t="str">
        <f t="shared" si="114"/>
        <v/>
      </c>
      <c r="Z152" s="13"/>
      <c r="AA152" s="14" t="str">
        <f t="shared" si="115"/>
        <v/>
      </c>
      <c r="AB152" s="13"/>
      <c r="AC152" s="14" t="str">
        <f t="shared" si="116"/>
        <v/>
      </c>
      <c r="AD152" s="13"/>
      <c r="AE152" s="14">
        <f t="shared" si="117"/>
        <v>0</v>
      </c>
      <c r="AF152" s="14">
        <f t="shared" si="118"/>
        <v>0</v>
      </c>
      <c r="AG152" s="13"/>
      <c r="AH152" s="14" t="str">
        <f t="shared" si="119"/>
        <v/>
      </c>
      <c r="AI152" s="13"/>
      <c r="AJ152" s="14" t="str">
        <f t="shared" si="120"/>
        <v/>
      </c>
      <c r="AK152" s="13"/>
      <c r="AL152" s="14" t="str">
        <f t="shared" si="121"/>
        <v/>
      </c>
      <c r="AM152" s="13"/>
      <c r="AN152" s="14" t="str">
        <f t="shared" si="122"/>
        <v/>
      </c>
      <c r="AO152" s="13"/>
      <c r="AP152" s="14" t="str">
        <f t="shared" si="123"/>
        <v/>
      </c>
      <c r="AQ152" s="13"/>
      <c r="AR152" s="14">
        <f t="shared" si="124"/>
        <v>0</v>
      </c>
      <c r="AS152" s="13"/>
      <c r="AT152" s="14">
        <f t="shared" si="125"/>
        <v>0</v>
      </c>
      <c r="AU152" s="14">
        <f t="shared" si="126"/>
        <v>0</v>
      </c>
      <c r="AV152" s="13"/>
      <c r="AW152" s="14" t="str">
        <f t="shared" si="127"/>
        <v/>
      </c>
      <c r="AX152" s="13"/>
      <c r="AY152" s="14" t="str">
        <f t="shared" si="128"/>
        <v/>
      </c>
      <c r="AZ152" s="13"/>
      <c r="BA152" s="14" t="str">
        <f t="shared" si="129"/>
        <v/>
      </c>
      <c r="BB152" s="13"/>
      <c r="BC152" s="14">
        <f t="shared" si="130"/>
        <v>0</v>
      </c>
      <c r="BD152" s="14">
        <f t="shared" si="131"/>
        <v>0</v>
      </c>
      <c r="BE152" s="13"/>
      <c r="BF152" s="14" t="str">
        <f t="shared" si="132"/>
        <v/>
      </c>
      <c r="BG152" s="13"/>
      <c r="BH152" s="14" t="str">
        <f t="shared" si="133"/>
        <v/>
      </c>
      <c r="BI152" s="14">
        <f t="shared" si="134"/>
        <v>0</v>
      </c>
      <c r="BJ152" s="14">
        <f t="shared" si="135"/>
        <v>0</v>
      </c>
      <c r="BK152" s="14" t="str">
        <f t="shared" si="136"/>
        <v>LOW RISK</v>
      </c>
      <c r="BL152" s="14" t="str">
        <f t="shared" si="137"/>
        <v/>
      </c>
      <c r="BM152" s="13"/>
      <c r="BN152" s="12"/>
      <c r="BO152" s="13"/>
      <c r="BP152" s="13"/>
      <c r="BQ152" s="13"/>
      <c r="BR152" s="13"/>
      <c r="BS152" s="13"/>
      <c r="BT152" s="13"/>
      <c r="BU152" s="14" t="str">
        <f t="shared" si="138"/>
        <v/>
      </c>
      <c r="BV152" s="13"/>
      <c r="BW152" s="13"/>
      <c r="BX152" s="13"/>
      <c r="BY152" s="13"/>
      <c r="BZ152" s="13"/>
      <c r="CA152" s="13"/>
      <c r="CB152" s="13"/>
      <c r="CC152" s="14" t="str">
        <f t="shared" si="139"/>
        <v/>
      </c>
      <c r="CD152" s="13"/>
      <c r="CE152" s="13"/>
      <c r="CF152" s="12"/>
      <c r="CG152" s="13"/>
      <c r="CH152" s="13"/>
      <c r="CI152" s="13"/>
      <c r="CJ152" s="13"/>
      <c r="CK152" s="13"/>
      <c r="CL152" s="12"/>
      <c r="CM152" s="13"/>
      <c r="CN152" s="13"/>
      <c r="CO152" s="13"/>
      <c r="CP152" s="12"/>
    </row>
    <row r="153" spans="1:94" x14ac:dyDescent="0.2">
      <c r="A153" s="12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4" t="str">
        <f t="shared" si="112"/>
        <v>✓ Clear to Score</v>
      </c>
      <c r="U153" s="13"/>
      <c r="V153" s="13"/>
      <c r="W153" s="14" t="str">
        <f t="shared" si="113"/>
        <v/>
      </c>
      <c r="X153" s="13"/>
      <c r="Y153" s="14" t="str">
        <f t="shared" si="114"/>
        <v/>
      </c>
      <c r="Z153" s="13"/>
      <c r="AA153" s="14" t="str">
        <f t="shared" si="115"/>
        <v/>
      </c>
      <c r="AB153" s="13"/>
      <c r="AC153" s="14" t="str">
        <f t="shared" si="116"/>
        <v/>
      </c>
      <c r="AD153" s="13"/>
      <c r="AE153" s="14">
        <f t="shared" si="117"/>
        <v>0</v>
      </c>
      <c r="AF153" s="14">
        <f t="shared" si="118"/>
        <v>0</v>
      </c>
      <c r="AG153" s="13"/>
      <c r="AH153" s="14" t="str">
        <f t="shared" si="119"/>
        <v/>
      </c>
      <c r="AI153" s="13"/>
      <c r="AJ153" s="14" t="str">
        <f t="shared" si="120"/>
        <v/>
      </c>
      <c r="AK153" s="13"/>
      <c r="AL153" s="14" t="str">
        <f t="shared" si="121"/>
        <v/>
      </c>
      <c r="AM153" s="13"/>
      <c r="AN153" s="14" t="str">
        <f t="shared" si="122"/>
        <v/>
      </c>
      <c r="AO153" s="13"/>
      <c r="AP153" s="14" t="str">
        <f t="shared" si="123"/>
        <v/>
      </c>
      <c r="AQ153" s="13"/>
      <c r="AR153" s="14">
        <f t="shared" si="124"/>
        <v>0</v>
      </c>
      <c r="AS153" s="13"/>
      <c r="AT153" s="14">
        <f t="shared" si="125"/>
        <v>0</v>
      </c>
      <c r="AU153" s="14">
        <f t="shared" si="126"/>
        <v>0</v>
      </c>
      <c r="AV153" s="13"/>
      <c r="AW153" s="14" t="str">
        <f t="shared" si="127"/>
        <v/>
      </c>
      <c r="AX153" s="13"/>
      <c r="AY153" s="14" t="str">
        <f t="shared" si="128"/>
        <v/>
      </c>
      <c r="AZ153" s="13"/>
      <c r="BA153" s="14" t="str">
        <f t="shared" si="129"/>
        <v/>
      </c>
      <c r="BB153" s="13"/>
      <c r="BC153" s="14">
        <f t="shared" si="130"/>
        <v>0</v>
      </c>
      <c r="BD153" s="14">
        <f t="shared" si="131"/>
        <v>0</v>
      </c>
      <c r="BE153" s="13"/>
      <c r="BF153" s="14" t="str">
        <f t="shared" si="132"/>
        <v/>
      </c>
      <c r="BG153" s="13"/>
      <c r="BH153" s="14" t="str">
        <f t="shared" si="133"/>
        <v/>
      </c>
      <c r="BI153" s="14">
        <f t="shared" si="134"/>
        <v>0</v>
      </c>
      <c r="BJ153" s="14">
        <f t="shared" si="135"/>
        <v>0</v>
      </c>
      <c r="BK153" s="14" t="str">
        <f t="shared" si="136"/>
        <v>LOW RISK</v>
      </c>
      <c r="BL153" s="14" t="str">
        <f t="shared" si="137"/>
        <v/>
      </c>
      <c r="BM153" s="13"/>
      <c r="BN153" s="12"/>
      <c r="BO153" s="13"/>
      <c r="BP153" s="13"/>
      <c r="BQ153" s="13"/>
      <c r="BR153" s="13"/>
      <c r="BS153" s="13"/>
      <c r="BT153" s="13"/>
      <c r="BU153" s="14" t="str">
        <f t="shared" si="138"/>
        <v/>
      </c>
      <c r="BV153" s="13"/>
      <c r="BW153" s="13"/>
      <c r="BX153" s="13"/>
      <c r="BY153" s="13"/>
      <c r="BZ153" s="13"/>
      <c r="CA153" s="13"/>
      <c r="CB153" s="13"/>
      <c r="CC153" s="14" t="str">
        <f t="shared" si="139"/>
        <v/>
      </c>
      <c r="CD153" s="13"/>
      <c r="CE153" s="13"/>
      <c r="CF153" s="12"/>
      <c r="CG153" s="13"/>
      <c r="CH153" s="13"/>
      <c r="CI153" s="13"/>
      <c r="CJ153" s="13"/>
      <c r="CK153" s="13"/>
      <c r="CL153" s="12"/>
      <c r="CM153" s="13"/>
      <c r="CN153" s="13"/>
      <c r="CO153" s="13"/>
      <c r="CP153" s="12"/>
    </row>
    <row r="154" spans="1:94" x14ac:dyDescent="0.2">
      <c r="A154" s="12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4" t="str">
        <f t="shared" si="112"/>
        <v>✓ Clear to Score</v>
      </c>
      <c r="U154" s="13"/>
      <c r="V154" s="13"/>
      <c r="W154" s="14" t="str">
        <f t="shared" si="113"/>
        <v/>
      </c>
      <c r="X154" s="13"/>
      <c r="Y154" s="14" t="str">
        <f t="shared" si="114"/>
        <v/>
      </c>
      <c r="Z154" s="13"/>
      <c r="AA154" s="14" t="str">
        <f t="shared" si="115"/>
        <v/>
      </c>
      <c r="AB154" s="13"/>
      <c r="AC154" s="14" t="str">
        <f t="shared" si="116"/>
        <v/>
      </c>
      <c r="AD154" s="13"/>
      <c r="AE154" s="14">
        <f t="shared" si="117"/>
        <v>0</v>
      </c>
      <c r="AF154" s="14">
        <f t="shared" si="118"/>
        <v>0</v>
      </c>
      <c r="AG154" s="13"/>
      <c r="AH154" s="14" t="str">
        <f t="shared" si="119"/>
        <v/>
      </c>
      <c r="AI154" s="13"/>
      <c r="AJ154" s="14" t="str">
        <f t="shared" si="120"/>
        <v/>
      </c>
      <c r="AK154" s="13"/>
      <c r="AL154" s="14" t="str">
        <f t="shared" si="121"/>
        <v/>
      </c>
      <c r="AM154" s="13"/>
      <c r="AN154" s="14" t="str">
        <f t="shared" si="122"/>
        <v/>
      </c>
      <c r="AO154" s="13"/>
      <c r="AP154" s="14" t="str">
        <f t="shared" si="123"/>
        <v/>
      </c>
      <c r="AQ154" s="13"/>
      <c r="AR154" s="14">
        <f t="shared" si="124"/>
        <v>0</v>
      </c>
      <c r="AS154" s="13"/>
      <c r="AT154" s="14">
        <f t="shared" si="125"/>
        <v>0</v>
      </c>
      <c r="AU154" s="14">
        <f t="shared" si="126"/>
        <v>0</v>
      </c>
      <c r="AV154" s="13"/>
      <c r="AW154" s="14" t="str">
        <f t="shared" si="127"/>
        <v/>
      </c>
      <c r="AX154" s="13"/>
      <c r="AY154" s="14" t="str">
        <f t="shared" si="128"/>
        <v/>
      </c>
      <c r="AZ154" s="13"/>
      <c r="BA154" s="14" t="str">
        <f t="shared" si="129"/>
        <v/>
      </c>
      <c r="BB154" s="13"/>
      <c r="BC154" s="14">
        <f t="shared" si="130"/>
        <v>0</v>
      </c>
      <c r="BD154" s="14">
        <f t="shared" si="131"/>
        <v>0</v>
      </c>
      <c r="BE154" s="13"/>
      <c r="BF154" s="14" t="str">
        <f t="shared" si="132"/>
        <v/>
      </c>
      <c r="BG154" s="13"/>
      <c r="BH154" s="14" t="str">
        <f t="shared" si="133"/>
        <v/>
      </c>
      <c r="BI154" s="14">
        <f t="shared" si="134"/>
        <v>0</v>
      </c>
      <c r="BJ154" s="14">
        <f t="shared" si="135"/>
        <v>0</v>
      </c>
      <c r="BK154" s="14" t="str">
        <f t="shared" si="136"/>
        <v>LOW RISK</v>
      </c>
      <c r="BL154" s="14" t="str">
        <f t="shared" si="137"/>
        <v/>
      </c>
      <c r="BM154" s="13"/>
      <c r="BN154" s="12"/>
      <c r="BO154" s="13"/>
      <c r="BP154" s="13"/>
      <c r="BQ154" s="13"/>
      <c r="BR154" s="13"/>
      <c r="BS154" s="13"/>
      <c r="BT154" s="13"/>
      <c r="BU154" s="14" t="str">
        <f t="shared" si="138"/>
        <v/>
      </c>
      <c r="BV154" s="13"/>
      <c r="BW154" s="13"/>
      <c r="BX154" s="13"/>
      <c r="BY154" s="13"/>
      <c r="BZ154" s="13"/>
      <c r="CA154" s="13"/>
      <c r="CB154" s="13"/>
      <c r="CC154" s="14" t="str">
        <f t="shared" si="139"/>
        <v/>
      </c>
      <c r="CD154" s="13"/>
      <c r="CE154" s="13"/>
      <c r="CF154" s="12"/>
      <c r="CG154" s="13"/>
      <c r="CH154" s="13"/>
      <c r="CI154" s="13"/>
      <c r="CJ154" s="13"/>
      <c r="CK154" s="13"/>
      <c r="CL154" s="12"/>
      <c r="CM154" s="13"/>
      <c r="CN154" s="13"/>
      <c r="CO154" s="13"/>
      <c r="CP154" s="12"/>
    </row>
    <row r="155" spans="1:94" x14ac:dyDescent="0.2">
      <c r="A155" s="12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4" t="str">
        <f t="shared" si="112"/>
        <v>✓ Clear to Score</v>
      </c>
      <c r="U155" s="13"/>
      <c r="V155" s="13"/>
      <c r="W155" s="14" t="str">
        <f t="shared" si="113"/>
        <v/>
      </c>
      <c r="X155" s="13"/>
      <c r="Y155" s="14" t="str">
        <f t="shared" si="114"/>
        <v/>
      </c>
      <c r="Z155" s="13"/>
      <c r="AA155" s="14" t="str">
        <f t="shared" si="115"/>
        <v/>
      </c>
      <c r="AB155" s="13"/>
      <c r="AC155" s="14" t="str">
        <f t="shared" si="116"/>
        <v/>
      </c>
      <c r="AD155" s="13"/>
      <c r="AE155" s="14">
        <f t="shared" si="117"/>
        <v>0</v>
      </c>
      <c r="AF155" s="14">
        <f t="shared" si="118"/>
        <v>0</v>
      </c>
      <c r="AG155" s="13"/>
      <c r="AH155" s="14" t="str">
        <f t="shared" si="119"/>
        <v/>
      </c>
      <c r="AI155" s="13"/>
      <c r="AJ155" s="14" t="str">
        <f t="shared" si="120"/>
        <v/>
      </c>
      <c r="AK155" s="13"/>
      <c r="AL155" s="14" t="str">
        <f t="shared" si="121"/>
        <v/>
      </c>
      <c r="AM155" s="13"/>
      <c r="AN155" s="14" t="str">
        <f t="shared" si="122"/>
        <v/>
      </c>
      <c r="AO155" s="13"/>
      <c r="AP155" s="14" t="str">
        <f t="shared" si="123"/>
        <v/>
      </c>
      <c r="AQ155" s="13"/>
      <c r="AR155" s="14">
        <f t="shared" si="124"/>
        <v>0</v>
      </c>
      <c r="AS155" s="13"/>
      <c r="AT155" s="14">
        <f t="shared" si="125"/>
        <v>0</v>
      </c>
      <c r="AU155" s="14">
        <f t="shared" si="126"/>
        <v>0</v>
      </c>
      <c r="AV155" s="13"/>
      <c r="AW155" s="14" t="str">
        <f t="shared" si="127"/>
        <v/>
      </c>
      <c r="AX155" s="13"/>
      <c r="AY155" s="14" t="str">
        <f t="shared" si="128"/>
        <v/>
      </c>
      <c r="AZ155" s="13"/>
      <c r="BA155" s="14" t="str">
        <f t="shared" si="129"/>
        <v/>
      </c>
      <c r="BB155" s="13"/>
      <c r="BC155" s="14">
        <f t="shared" si="130"/>
        <v>0</v>
      </c>
      <c r="BD155" s="14">
        <f t="shared" si="131"/>
        <v>0</v>
      </c>
      <c r="BE155" s="13"/>
      <c r="BF155" s="14" t="str">
        <f t="shared" si="132"/>
        <v/>
      </c>
      <c r="BG155" s="13"/>
      <c r="BH155" s="14" t="str">
        <f t="shared" si="133"/>
        <v/>
      </c>
      <c r="BI155" s="14">
        <f t="shared" si="134"/>
        <v>0</v>
      </c>
      <c r="BJ155" s="14">
        <f t="shared" si="135"/>
        <v>0</v>
      </c>
      <c r="BK155" s="14" t="str">
        <f t="shared" si="136"/>
        <v>LOW RISK</v>
      </c>
      <c r="BL155" s="14" t="str">
        <f t="shared" si="137"/>
        <v/>
      </c>
      <c r="BM155" s="13"/>
      <c r="BN155" s="12"/>
      <c r="BO155" s="13"/>
      <c r="BP155" s="13"/>
      <c r="BQ155" s="13"/>
      <c r="BR155" s="13"/>
      <c r="BS155" s="13"/>
      <c r="BT155" s="13"/>
      <c r="BU155" s="14" t="str">
        <f t="shared" si="138"/>
        <v/>
      </c>
      <c r="BV155" s="13"/>
      <c r="BW155" s="13"/>
      <c r="BX155" s="13"/>
      <c r="BY155" s="13"/>
      <c r="BZ155" s="13"/>
      <c r="CA155" s="13"/>
      <c r="CB155" s="13"/>
      <c r="CC155" s="14" t="str">
        <f t="shared" si="139"/>
        <v/>
      </c>
      <c r="CD155" s="13"/>
      <c r="CE155" s="13"/>
      <c r="CF155" s="12"/>
      <c r="CG155" s="13"/>
      <c r="CH155" s="13"/>
      <c r="CI155" s="13"/>
      <c r="CJ155" s="13"/>
      <c r="CK155" s="13"/>
      <c r="CL155" s="12"/>
      <c r="CM155" s="13"/>
      <c r="CN155" s="13"/>
      <c r="CO155" s="13"/>
      <c r="CP155" s="12"/>
    </row>
    <row r="156" spans="1:94" x14ac:dyDescent="0.2">
      <c r="A156" s="12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4" t="str">
        <f t="shared" si="112"/>
        <v>✓ Clear to Score</v>
      </c>
      <c r="U156" s="13"/>
      <c r="V156" s="13"/>
      <c r="W156" s="14" t="str">
        <f t="shared" si="113"/>
        <v/>
      </c>
      <c r="X156" s="13"/>
      <c r="Y156" s="14" t="str">
        <f t="shared" si="114"/>
        <v/>
      </c>
      <c r="Z156" s="13"/>
      <c r="AA156" s="14" t="str">
        <f t="shared" si="115"/>
        <v/>
      </c>
      <c r="AB156" s="13"/>
      <c r="AC156" s="14" t="str">
        <f t="shared" si="116"/>
        <v/>
      </c>
      <c r="AD156" s="13"/>
      <c r="AE156" s="14">
        <f t="shared" si="117"/>
        <v>0</v>
      </c>
      <c r="AF156" s="14">
        <f t="shared" si="118"/>
        <v>0</v>
      </c>
      <c r="AG156" s="13"/>
      <c r="AH156" s="14" t="str">
        <f t="shared" si="119"/>
        <v/>
      </c>
      <c r="AI156" s="13"/>
      <c r="AJ156" s="14" t="str">
        <f t="shared" si="120"/>
        <v/>
      </c>
      <c r="AK156" s="13"/>
      <c r="AL156" s="14" t="str">
        <f t="shared" si="121"/>
        <v/>
      </c>
      <c r="AM156" s="13"/>
      <c r="AN156" s="14" t="str">
        <f t="shared" si="122"/>
        <v/>
      </c>
      <c r="AO156" s="13"/>
      <c r="AP156" s="14" t="str">
        <f t="shared" si="123"/>
        <v/>
      </c>
      <c r="AQ156" s="13"/>
      <c r="AR156" s="14">
        <f t="shared" si="124"/>
        <v>0</v>
      </c>
      <c r="AS156" s="13"/>
      <c r="AT156" s="14">
        <f t="shared" si="125"/>
        <v>0</v>
      </c>
      <c r="AU156" s="14">
        <f t="shared" si="126"/>
        <v>0</v>
      </c>
      <c r="AV156" s="13"/>
      <c r="AW156" s="14" t="str">
        <f t="shared" si="127"/>
        <v/>
      </c>
      <c r="AX156" s="13"/>
      <c r="AY156" s="14" t="str">
        <f t="shared" si="128"/>
        <v/>
      </c>
      <c r="AZ156" s="13"/>
      <c r="BA156" s="14" t="str">
        <f t="shared" si="129"/>
        <v/>
      </c>
      <c r="BB156" s="13"/>
      <c r="BC156" s="14">
        <f t="shared" si="130"/>
        <v>0</v>
      </c>
      <c r="BD156" s="14">
        <f t="shared" si="131"/>
        <v>0</v>
      </c>
      <c r="BE156" s="13"/>
      <c r="BF156" s="14" t="str">
        <f t="shared" si="132"/>
        <v/>
      </c>
      <c r="BG156" s="13"/>
      <c r="BH156" s="14" t="str">
        <f t="shared" si="133"/>
        <v/>
      </c>
      <c r="BI156" s="14">
        <f t="shared" si="134"/>
        <v>0</v>
      </c>
      <c r="BJ156" s="14">
        <f t="shared" si="135"/>
        <v>0</v>
      </c>
      <c r="BK156" s="14" t="str">
        <f t="shared" si="136"/>
        <v>LOW RISK</v>
      </c>
      <c r="BL156" s="14" t="str">
        <f t="shared" si="137"/>
        <v/>
      </c>
      <c r="BM156" s="13"/>
      <c r="BN156" s="12"/>
      <c r="BO156" s="13"/>
      <c r="BP156" s="13"/>
      <c r="BQ156" s="13"/>
      <c r="BR156" s="13"/>
      <c r="BS156" s="13"/>
      <c r="BT156" s="13"/>
      <c r="BU156" s="14" t="str">
        <f t="shared" si="138"/>
        <v/>
      </c>
      <c r="BV156" s="13"/>
      <c r="BW156" s="13"/>
      <c r="BX156" s="13"/>
      <c r="BY156" s="13"/>
      <c r="BZ156" s="13"/>
      <c r="CA156" s="13"/>
      <c r="CB156" s="13"/>
      <c r="CC156" s="14" t="str">
        <f t="shared" si="139"/>
        <v/>
      </c>
      <c r="CD156" s="13"/>
      <c r="CE156" s="13"/>
      <c r="CF156" s="12"/>
      <c r="CG156" s="13"/>
      <c r="CH156" s="13"/>
      <c r="CI156" s="13"/>
      <c r="CJ156" s="13"/>
      <c r="CK156" s="13"/>
      <c r="CL156" s="12"/>
      <c r="CM156" s="13"/>
      <c r="CN156" s="13"/>
      <c r="CO156" s="13"/>
      <c r="CP156" s="12"/>
    </row>
    <row r="157" spans="1:94" x14ac:dyDescent="0.2">
      <c r="A157" s="12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4" t="str">
        <f t="shared" si="112"/>
        <v>✓ Clear to Score</v>
      </c>
      <c r="U157" s="13"/>
      <c r="V157" s="13"/>
      <c r="W157" s="14" t="str">
        <f t="shared" si="113"/>
        <v/>
      </c>
      <c r="X157" s="13"/>
      <c r="Y157" s="14" t="str">
        <f t="shared" si="114"/>
        <v/>
      </c>
      <c r="Z157" s="13"/>
      <c r="AA157" s="14" t="str">
        <f t="shared" si="115"/>
        <v/>
      </c>
      <c r="AB157" s="13"/>
      <c r="AC157" s="14" t="str">
        <f t="shared" si="116"/>
        <v/>
      </c>
      <c r="AD157" s="13"/>
      <c r="AE157" s="14">
        <f t="shared" si="117"/>
        <v>0</v>
      </c>
      <c r="AF157" s="14">
        <f t="shared" si="118"/>
        <v>0</v>
      </c>
      <c r="AG157" s="13"/>
      <c r="AH157" s="14" t="str">
        <f t="shared" si="119"/>
        <v/>
      </c>
      <c r="AI157" s="13"/>
      <c r="AJ157" s="14" t="str">
        <f t="shared" si="120"/>
        <v/>
      </c>
      <c r="AK157" s="13"/>
      <c r="AL157" s="14" t="str">
        <f t="shared" si="121"/>
        <v/>
      </c>
      <c r="AM157" s="13"/>
      <c r="AN157" s="14" t="str">
        <f t="shared" si="122"/>
        <v/>
      </c>
      <c r="AO157" s="13"/>
      <c r="AP157" s="14" t="str">
        <f t="shared" si="123"/>
        <v/>
      </c>
      <c r="AQ157" s="13"/>
      <c r="AR157" s="14">
        <f t="shared" si="124"/>
        <v>0</v>
      </c>
      <c r="AS157" s="13"/>
      <c r="AT157" s="14">
        <f t="shared" si="125"/>
        <v>0</v>
      </c>
      <c r="AU157" s="14">
        <f t="shared" si="126"/>
        <v>0</v>
      </c>
      <c r="AV157" s="13"/>
      <c r="AW157" s="14" t="str">
        <f t="shared" si="127"/>
        <v/>
      </c>
      <c r="AX157" s="13"/>
      <c r="AY157" s="14" t="str">
        <f t="shared" si="128"/>
        <v/>
      </c>
      <c r="AZ157" s="13"/>
      <c r="BA157" s="14" t="str">
        <f t="shared" si="129"/>
        <v/>
      </c>
      <c r="BB157" s="13"/>
      <c r="BC157" s="14">
        <f t="shared" si="130"/>
        <v>0</v>
      </c>
      <c r="BD157" s="14">
        <f t="shared" si="131"/>
        <v>0</v>
      </c>
      <c r="BE157" s="13"/>
      <c r="BF157" s="14" t="str">
        <f t="shared" si="132"/>
        <v/>
      </c>
      <c r="BG157" s="13"/>
      <c r="BH157" s="14" t="str">
        <f t="shared" si="133"/>
        <v/>
      </c>
      <c r="BI157" s="14">
        <f t="shared" si="134"/>
        <v>0</v>
      </c>
      <c r="BJ157" s="14">
        <f t="shared" si="135"/>
        <v>0</v>
      </c>
      <c r="BK157" s="14" t="str">
        <f t="shared" si="136"/>
        <v>LOW RISK</v>
      </c>
      <c r="BL157" s="14" t="str">
        <f t="shared" si="137"/>
        <v/>
      </c>
      <c r="BM157" s="13"/>
      <c r="BN157" s="12"/>
      <c r="BO157" s="13"/>
      <c r="BP157" s="13"/>
      <c r="BQ157" s="13"/>
      <c r="BR157" s="13"/>
      <c r="BS157" s="13"/>
      <c r="BT157" s="13"/>
      <c r="BU157" s="14" t="str">
        <f t="shared" si="138"/>
        <v/>
      </c>
      <c r="BV157" s="13"/>
      <c r="BW157" s="13"/>
      <c r="BX157" s="13"/>
      <c r="BY157" s="13"/>
      <c r="BZ157" s="13"/>
      <c r="CA157" s="13"/>
      <c r="CB157" s="13"/>
      <c r="CC157" s="14" t="str">
        <f t="shared" si="139"/>
        <v/>
      </c>
      <c r="CD157" s="13"/>
      <c r="CE157" s="13"/>
      <c r="CF157" s="12"/>
      <c r="CG157" s="13"/>
      <c r="CH157" s="13"/>
      <c r="CI157" s="13"/>
      <c r="CJ157" s="13"/>
      <c r="CK157" s="13"/>
      <c r="CL157" s="12"/>
      <c r="CM157" s="13"/>
      <c r="CN157" s="13"/>
      <c r="CO157" s="13"/>
      <c r="CP157" s="12"/>
    </row>
    <row r="158" spans="1:94" x14ac:dyDescent="0.2">
      <c r="A158" s="12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4" t="str">
        <f t="shared" si="112"/>
        <v>✓ Clear to Score</v>
      </c>
      <c r="U158" s="13"/>
      <c r="V158" s="13"/>
      <c r="W158" s="14" t="str">
        <f t="shared" si="113"/>
        <v/>
      </c>
      <c r="X158" s="13"/>
      <c r="Y158" s="14" t="str">
        <f t="shared" si="114"/>
        <v/>
      </c>
      <c r="Z158" s="13"/>
      <c r="AA158" s="14" t="str">
        <f t="shared" si="115"/>
        <v/>
      </c>
      <c r="AB158" s="13"/>
      <c r="AC158" s="14" t="str">
        <f t="shared" si="116"/>
        <v/>
      </c>
      <c r="AD158" s="13"/>
      <c r="AE158" s="14">
        <f t="shared" si="117"/>
        <v>0</v>
      </c>
      <c r="AF158" s="14">
        <f t="shared" si="118"/>
        <v>0</v>
      </c>
      <c r="AG158" s="13"/>
      <c r="AH158" s="14" t="str">
        <f t="shared" si="119"/>
        <v/>
      </c>
      <c r="AI158" s="13"/>
      <c r="AJ158" s="14" t="str">
        <f t="shared" si="120"/>
        <v/>
      </c>
      <c r="AK158" s="13"/>
      <c r="AL158" s="14" t="str">
        <f t="shared" si="121"/>
        <v/>
      </c>
      <c r="AM158" s="13"/>
      <c r="AN158" s="14" t="str">
        <f t="shared" si="122"/>
        <v/>
      </c>
      <c r="AO158" s="13"/>
      <c r="AP158" s="14" t="str">
        <f t="shared" si="123"/>
        <v/>
      </c>
      <c r="AQ158" s="13"/>
      <c r="AR158" s="14">
        <f t="shared" si="124"/>
        <v>0</v>
      </c>
      <c r="AS158" s="13"/>
      <c r="AT158" s="14">
        <f t="shared" si="125"/>
        <v>0</v>
      </c>
      <c r="AU158" s="14">
        <f t="shared" si="126"/>
        <v>0</v>
      </c>
      <c r="AV158" s="13"/>
      <c r="AW158" s="14" t="str">
        <f t="shared" si="127"/>
        <v/>
      </c>
      <c r="AX158" s="13"/>
      <c r="AY158" s="14" t="str">
        <f t="shared" si="128"/>
        <v/>
      </c>
      <c r="AZ158" s="13"/>
      <c r="BA158" s="14" t="str">
        <f t="shared" si="129"/>
        <v/>
      </c>
      <c r="BB158" s="13"/>
      <c r="BC158" s="14">
        <f t="shared" si="130"/>
        <v>0</v>
      </c>
      <c r="BD158" s="14">
        <f t="shared" si="131"/>
        <v>0</v>
      </c>
      <c r="BE158" s="13"/>
      <c r="BF158" s="14" t="str">
        <f t="shared" si="132"/>
        <v/>
      </c>
      <c r="BG158" s="13"/>
      <c r="BH158" s="14" t="str">
        <f t="shared" si="133"/>
        <v/>
      </c>
      <c r="BI158" s="14">
        <f t="shared" si="134"/>
        <v>0</v>
      </c>
      <c r="BJ158" s="14">
        <f t="shared" si="135"/>
        <v>0</v>
      </c>
      <c r="BK158" s="14" t="str">
        <f t="shared" si="136"/>
        <v>LOW RISK</v>
      </c>
      <c r="BL158" s="14" t="str">
        <f t="shared" si="137"/>
        <v/>
      </c>
      <c r="BM158" s="13"/>
      <c r="BN158" s="12"/>
      <c r="BO158" s="13"/>
      <c r="BP158" s="13"/>
      <c r="BQ158" s="13"/>
      <c r="BR158" s="13"/>
      <c r="BS158" s="13"/>
      <c r="BT158" s="13"/>
      <c r="BU158" s="14" t="str">
        <f t="shared" si="138"/>
        <v/>
      </c>
      <c r="BV158" s="13"/>
      <c r="BW158" s="13"/>
      <c r="BX158" s="13"/>
      <c r="BY158" s="13"/>
      <c r="BZ158" s="13"/>
      <c r="CA158" s="13"/>
      <c r="CB158" s="13"/>
      <c r="CC158" s="14" t="str">
        <f t="shared" si="139"/>
        <v/>
      </c>
      <c r="CD158" s="13"/>
      <c r="CE158" s="13"/>
      <c r="CF158" s="12"/>
      <c r="CG158" s="13"/>
      <c r="CH158" s="13"/>
      <c r="CI158" s="13"/>
      <c r="CJ158" s="13"/>
      <c r="CK158" s="13"/>
      <c r="CL158" s="12"/>
      <c r="CM158" s="13"/>
      <c r="CN158" s="13"/>
      <c r="CO158" s="13"/>
      <c r="CP158" s="12"/>
    </row>
    <row r="159" spans="1:94" x14ac:dyDescent="0.2">
      <c r="A159" s="12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4" t="str">
        <f t="shared" si="112"/>
        <v>✓ Clear to Score</v>
      </c>
      <c r="U159" s="13"/>
      <c r="V159" s="13"/>
      <c r="W159" s="14" t="str">
        <f t="shared" si="113"/>
        <v/>
      </c>
      <c r="X159" s="13"/>
      <c r="Y159" s="14" t="str">
        <f t="shared" si="114"/>
        <v/>
      </c>
      <c r="Z159" s="13"/>
      <c r="AA159" s="14" t="str">
        <f t="shared" si="115"/>
        <v/>
      </c>
      <c r="AB159" s="13"/>
      <c r="AC159" s="14" t="str">
        <f t="shared" si="116"/>
        <v/>
      </c>
      <c r="AD159" s="13"/>
      <c r="AE159" s="14">
        <f t="shared" si="117"/>
        <v>0</v>
      </c>
      <c r="AF159" s="14">
        <f t="shared" si="118"/>
        <v>0</v>
      </c>
      <c r="AG159" s="13"/>
      <c r="AH159" s="14" t="str">
        <f t="shared" si="119"/>
        <v/>
      </c>
      <c r="AI159" s="13"/>
      <c r="AJ159" s="14" t="str">
        <f t="shared" si="120"/>
        <v/>
      </c>
      <c r="AK159" s="13"/>
      <c r="AL159" s="14" t="str">
        <f t="shared" si="121"/>
        <v/>
      </c>
      <c r="AM159" s="13"/>
      <c r="AN159" s="14" t="str">
        <f t="shared" si="122"/>
        <v/>
      </c>
      <c r="AO159" s="13"/>
      <c r="AP159" s="14" t="str">
        <f t="shared" si="123"/>
        <v/>
      </c>
      <c r="AQ159" s="13"/>
      <c r="AR159" s="14">
        <f t="shared" si="124"/>
        <v>0</v>
      </c>
      <c r="AS159" s="13"/>
      <c r="AT159" s="14">
        <f t="shared" si="125"/>
        <v>0</v>
      </c>
      <c r="AU159" s="14">
        <f t="shared" si="126"/>
        <v>0</v>
      </c>
      <c r="AV159" s="13"/>
      <c r="AW159" s="14" t="str">
        <f t="shared" si="127"/>
        <v/>
      </c>
      <c r="AX159" s="13"/>
      <c r="AY159" s="14" t="str">
        <f t="shared" si="128"/>
        <v/>
      </c>
      <c r="AZ159" s="13"/>
      <c r="BA159" s="14" t="str">
        <f t="shared" si="129"/>
        <v/>
      </c>
      <c r="BB159" s="13"/>
      <c r="BC159" s="14">
        <f t="shared" si="130"/>
        <v>0</v>
      </c>
      <c r="BD159" s="14">
        <f t="shared" si="131"/>
        <v>0</v>
      </c>
      <c r="BE159" s="13"/>
      <c r="BF159" s="14" t="str">
        <f t="shared" si="132"/>
        <v/>
      </c>
      <c r="BG159" s="13"/>
      <c r="BH159" s="14" t="str">
        <f t="shared" si="133"/>
        <v/>
      </c>
      <c r="BI159" s="14">
        <f t="shared" si="134"/>
        <v>0</v>
      </c>
      <c r="BJ159" s="14">
        <f t="shared" si="135"/>
        <v>0</v>
      </c>
      <c r="BK159" s="14" t="str">
        <f t="shared" si="136"/>
        <v>LOW RISK</v>
      </c>
      <c r="BL159" s="14" t="str">
        <f t="shared" si="137"/>
        <v/>
      </c>
      <c r="BM159" s="13"/>
      <c r="BN159" s="12"/>
      <c r="BO159" s="13"/>
      <c r="BP159" s="13"/>
      <c r="BQ159" s="13"/>
      <c r="BR159" s="13"/>
      <c r="BS159" s="13"/>
      <c r="BT159" s="13"/>
      <c r="BU159" s="14" t="str">
        <f t="shared" si="138"/>
        <v/>
      </c>
      <c r="BV159" s="13"/>
      <c r="BW159" s="13"/>
      <c r="BX159" s="13"/>
      <c r="BY159" s="13"/>
      <c r="BZ159" s="13"/>
      <c r="CA159" s="13"/>
      <c r="CB159" s="13"/>
      <c r="CC159" s="14" t="str">
        <f t="shared" si="139"/>
        <v/>
      </c>
      <c r="CD159" s="13"/>
      <c r="CE159" s="13"/>
      <c r="CF159" s="12"/>
      <c r="CG159" s="13"/>
      <c r="CH159" s="13"/>
      <c r="CI159" s="13"/>
      <c r="CJ159" s="13"/>
      <c r="CK159" s="13"/>
      <c r="CL159" s="12"/>
      <c r="CM159" s="13"/>
      <c r="CN159" s="13"/>
      <c r="CO159" s="13"/>
      <c r="CP159" s="12"/>
    </row>
    <row r="160" spans="1:94" x14ac:dyDescent="0.2">
      <c r="A160" s="12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4" t="str">
        <f t="shared" si="112"/>
        <v>✓ Clear to Score</v>
      </c>
      <c r="U160" s="13"/>
      <c r="V160" s="13"/>
      <c r="W160" s="14" t="str">
        <f t="shared" si="113"/>
        <v/>
      </c>
      <c r="X160" s="13"/>
      <c r="Y160" s="14" t="str">
        <f t="shared" si="114"/>
        <v/>
      </c>
      <c r="Z160" s="13"/>
      <c r="AA160" s="14" t="str">
        <f t="shared" si="115"/>
        <v/>
      </c>
      <c r="AB160" s="13"/>
      <c r="AC160" s="14" t="str">
        <f t="shared" si="116"/>
        <v/>
      </c>
      <c r="AD160" s="13"/>
      <c r="AE160" s="14">
        <f t="shared" si="117"/>
        <v>0</v>
      </c>
      <c r="AF160" s="14">
        <f t="shared" si="118"/>
        <v>0</v>
      </c>
      <c r="AG160" s="13"/>
      <c r="AH160" s="14" t="str">
        <f t="shared" si="119"/>
        <v/>
      </c>
      <c r="AI160" s="13"/>
      <c r="AJ160" s="14" t="str">
        <f t="shared" si="120"/>
        <v/>
      </c>
      <c r="AK160" s="13"/>
      <c r="AL160" s="14" t="str">
        <f t="shared" si="121"/>
        <v/>
      </c>
      <c r="AM160" s="13"/>
      <c r="AN160" s="14" t="str">
        <f t="shared" si="122"/>
        <v/>
      </c>
      <c r="AO160" s="13"/>
      <c r="AP160" s="14" t="str">
        <f t="shared" si="123"/>
        <v/>
      </c>
      <c r="AQ160" s="13"/>
      <c r="AR160" s="14">
        <f t="shared" si="124"/>
        <v>0</v>
      </c>
      <c r="AS160" s="13"/>
      <c r="AT160" s="14">
        <f t="shared" si="125"/>
        <v>0</v>
      </c>
      <c r="AU160" s="14">
        <f t="shared" si="126"/>
        <v>0</v>
      </c>
      <c r="AV160" s="13"/>
      <c r="AW160" s="14" t="str">
        <f t="shared" si="127"/>
        <v/>
      </c>
      <c r="AX160" s="13"/>
      <c r="AY160" s="14" t="str">
        <f t="shared" si="128"/>
        <v/>
      </c>
      <c r="AZ160" s="13"/>
      <c r="BA160" s="14" t="str">
        <f t="shared" si="129"/>
        <v/>
      </c>
      <c r="BB160" s="13"/>
      <c r="BC160" s="14">
        <f t="shared" si="130"/>
        <v>0</v>
      </c>
      <c r="BD160" s="14">
        <f t="shared" si="131"/>
        <v>0</v>
      </c>
      <c r="BE160" s="13"/>
      <c r="BF160" s="14" t="str">
        <f t="shared" si="132"/>
        <v/>
      </c>
      <c r="BG160" s="13"/>
      <c r="BH160" s="14" t="str">
        <f t="shared" si="133"/>
        <v/>
      </c>
      <c r="BI160" s="14">
        <f t="shared" si="134"/>
        <v>0</v>
      </c>
      <c r="BJ160" s="14">
        <f t="shared" si="135"/>
        <v>0</v>
      </c>
      <c r="BK160" s="14" t="str">
        <f t="shared" si="136"/>
        <v>LOW RISK</v>
      </c>
      <c r="BL160" s="14" t="str">
        <f t="shared" si="137"/>
        <v/>
      </c>
      <c r="BM160" s="13"/>
      <c r="BN160" s="12"/>
      <c r="BO160" s="13"/>
      <c r="BP160" s="13"/>
      <c r="BQ160" s="13"/>
      <c r="BR160" s="13"/>
      <c r="BS160" s="13"/>
      <c r="BT160" s="13"/>
      <c r="BU160" s="14" t="str">
        <f t="shared" si="138"/>
        <v/>
      </c>
      <c r="BV160" s="13"/>
      <c r="BW160" s="13"/>
      <c r="BX160" s="13"/>
      <c r="BY160" s="13"/>
      <c r="BZ160" s="13"/>
      <c r="CA160" s="13"/>
      <c r="CB160" s="13"/>
      <c r="CC160" s="14" t="str">
        <f t="shared" si="139"/>
        <v/>
      </c>
      <c r="CD160" s="13"/>
      <c r="CE160" s="13"/>
      <c r="CF160" s="12"/>
      <c r="CG160" s="13"/>
      <c r="CH160" s="13"/>
      <c r="CI160" s="13"/>
      <c r="CJ160" s="13"/>
      <c r="CK160" s="13"/>
      <c r="CL160" s="12"/>
      <c r="CM160" s="13"/>
      <c r="CN160" s="13"/>
      <c r="CO160" s="13"/>
      <c r="CP160" s="12"/>
    </row>
    <row r="161" spans="1:94" x14ac:dyDescent="0.2">
      <c r="A161" s="12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4" t="str">
        <f t="shared" si="112"/>
        <v>✓ Clear to Score</v>
      </c>
      <c r="U161" s="13"/>
      <c r="V161" s="13"/>
      <c r="W161" s="14" t="str">
        <f t="shared" si="113"/>
        <v/>
      </c>
      <c r="X161" s="13"/>
      <c r="Y161" s="14" t="str">
        <f t="shared" si="114"/>
        <v/>
      </c>
      <c r="Z161" s="13"/>
      <c r="AA161" s="14" t="str">
        <f t="shared" si="115"/>
        <v/>
      </c>
      <c r="AB161" s="13"/>
      <c r="AC161" s="14" t="str">
        <f t="shared" si="116"/>
        <v/>
      </c>
      <c r="AD161" s="13"/>
      <c r="AE161" s="14">
        <f t="shared" si="117"/>
        <v>0</v>
      </c>
      <c r="AF161" s="14">
        <f t="shared" si="118"/>
        <v>0</v>
      </c>
      <c r="AG161" s="13"/>
      <c r="AH161" s="14" t="str">
        <f t="shared" si="119"/>
        <v/>
      </c>
      <c r="AI161" s="13"/>
      <c r="AJ161" s="14" t="str">
        <f t="shared" si="120"/>
        <v/>
      </c>
      <c r="AK161" s="13"/>
      <c r="AL161" s="14" t="str">
        <f t="shared" si="121"/>
        <v/>
      </c>
      <c r="AM161" s="13"/>
      <c r="AN161" s="14" t="str">
        <f t="shared" si="122"/>
        <v/>
      </c>
      <c r="AO161" s="13"/>
      <c r="AP161" s="14" t="str">
        <f t="shared" si="123"/>
        <v/>
      </c>
      <c r="AQ161" s="13"/>
      <c r="AR161" s="14">
        <f t="shared" si="124"/>
        <v>0</v>
      </c>
      <c r="AS161" s="13"/>
      <c r="AT161" s="14">
        <f t="shared" si="125"/>
        <v>0</v>
      </c>
      <c r="AU161" s="14">
        <f t="shared" si="126"/>
        <v>0</v>
      </c>
      <c r="AV161" s="13"/>
      <c r="AW161" s="14" t="str">
        <f t="shared" si="127"/>
        <v/>
      </c>
      <c r="AX161" s="13"/>
      <c r="AY161" s="14" t="str">
        <f t="shared" si="128"/>
        <v/>
      </c>
      <c r="AZ161" s="13"/>
      <c r="BA161" s="14" t="str">
        <f t="shared" si="129"/>
        <v/>
      </c>
      <c r="BB161" s="13"/>
      <c r="BC161" s="14">
        <f t="shared" si="130"/>
        <v>0</v>
      </c>
      <c r="BD161" s="14">
        <f t="shared" si="131"/>
        <v>0</v>
      </c>
      <c r="BE161" s="13"/>
      <c r="BF161" s="14" t="str">
        <f t="shared" si="132"/>
        <v/>
      </c>
      <c r="BG161" s="13"/>
      <c r="BH161" s="14" t="str">
        <f t="shared" si="133"/>
        <v/>
      </c>
      <c r="BI161" s="14">
        <f t="shared" si="134"/>
        <v>0</v>
      </c>
      <c r="BJ161" s="14">
        <f t="shared" si="135"/>
        <v>0</v>
      </c>
      <c r="BK161" s="14" t="str">
        <f t="shared" si="136"/>
        <v>LOW RISK</v>
      </c>
      <c r="BL161" s="14" t="str">
        <f t="shared" si="137"/>
        <v/>
      </c>
      <c r="BM161" s="13"/>
      <c r="BN161" s="12"/>
      <c r="BO161" s="13"/>
      <c r="BP161" s="13"/>
      <c r="BQ161" s="13"/>
      <c r="BR161" s="13"/>
      <c r="BS161" s="13"/>
      <c r="BT161" s="13"/>
      <c r="BU161" s="14" t="str">
        <f t="shared" si="138"/>
        <v/>
      </c>
      <c r="BV161" s="13"/>
      <c r="BW161" s="13"/>
      <c r="BX161" s="13"/>
      <c r="BY161" s="13"/>
      <c r="BZ161" s="13"/>
      <c r="CA161" s="13"/>
      <c r="CB161" s="13"/>
      <c r="CC161" s="14" t="str">
        <f t="shared" si="139"/>
        <v/>
      </c>
      <c r="CD161" s="13"/>
      <c r="CE161" s="13"/>
      <c r="CF161" s="12"/>
      <c r="CG161" s="13"/>
      <c r="CH161" s="13"/>
      <c r="CI161" s="13"/>
      <c r="CJ161" s="13"/>
      <c r="CK161" s="13"/>
      <c r="CL161" s="12"/>
      <c r="CM161" s="13"/>
      <c r="CN161" s="13"/>
      <c r="CO161" s="13"/>
      <c r="CP161" s="12"/>
    </row>
    <row r="162" spans="1:94" x14ac:dyDescent="0.2">
      <c r="A162" s="12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4" t="str">
        <f t="shared" si="112"/>
        <v>✓ Clear to Score</v>
      </c>
      <c r="U162" s="13"/>
      <c r="V162" s="13"/>
      <c r="W162" s="14" t="str">
        <f t="shared" si="113"/>
        <v/>
      </c>
      <c r="X162" s="13"/>
      <c r="Y162" s="14" t="str">
        <f t="shared" si="114"/>
        <v/>
      </c>
      <c r="Z162" s="13"/>
      <c r="AA162" s="14" t="str">
        <f t="shared" si="115"/>
        <v/>
      </c>
      <c r="AB162" s="13"/>
      <c r="AC162" s="14" t="str">
        <f t="shared" si="116"/>
        <v/>
      </c>
      <c r="AD162" s="13"/>
      <c r="AE162" s="14">
        <f t="shared" si="117"/>
        <v>0</v>
      </c>
      <c r="AF162" s="14">
        <f t="shared" si="118"/>
        <v>0</v>
      </c>
      <c r="AG162" s="13"/>
      <c r="AH162" s="14" t="str">
        <f t="shared" si="119"/>
        <v/>
      </c>
      <c r="AI162" s="13"/>
      <c r="AJ162" s="14" t="str">
        <f t="shared" si="120"/>
        <v/>
      </c>
      <c r="AK162" s="13"/>
      <c r="AL162" s="14" t="str">
        <f t="shared" si="121"/>
        <v/>
      </c>
      <c r="AM162" s="13"/>
      <c r="AN162" s="14" t="str">
        <f t="shared" si="122"/>
        <v/>
      </c>
      <c r="AO162" s="13"/>
      <c r="AP162" s="14" t="str">
        <f t="shared" si="123"/>
        <v/>
      </c>
      <c r="AQ162" s="13"/>
      <c r="AR162" s="14">
        <f t="shared" si="124"/>
        <v>0</v>
      </c>
      <c r="AS162" s="13"/>
      <c r="AT162" s="14">
        <f t="shared" si="125"/>
        <v>0</v>
      </c>
      <c r="AU162" s="14">
        <f t="shared" si="126"/>
        <v>0</v>
      </c>
      <c r="AV162" s="13"/>
      <c r="AW162" s="14" t="str">
        <f t="shared" si="127"/>
        <v/>
      </c>
      <c r="AX162" s="13"/>
      <c r="AY162" s="14" t="str">
        <f t="shared" si="128"/>
        <v/>
      </c>
      <c r="AZ162" s="13"/>
      <c r="BA162" s="14" t="str">
        <f t="shared" si="129"/>
        <v/>
      </c>
      <c r="BB162" s="13"/>
      <c r="BC162" s="14">
        <f t="shared" si="130"/>
        <v>0</v>
      </c>
      <c r="BD162" s="14">
        <f t="shared" si="131"/>
        <v>0</v>
      </c>
      <c r="BE162" s="13"/>
      <c r="BF162" s="14" t="str">
        <f t="shared" si="132"/>
        <v/>
      </c>
      <c r="BG162" s="13"/>
      <c r="BH162" s="14" t="str">
        <f t="shared" si="133"/>
        <v/>
      </c>
      <c r="BI162" s="14">
        <f t="shared" si="134"/>
        <v>0</v>
      </c>
      <c r="BJ162" s="14">
        <f t="shared" si="135"/>
        <v>0</v>
      </c>
      <c r="BK162" s="14" t="str">
        <f t="shared" si="136"/>
        <v>LOW RISK</v>
      </c>
      <c r="BL162" s="14" t="str">
        <f t="shared" si="137"/>
        <v/>
      </c>
      <c r="BM162" s="13"/>
      <c r="BN162" s="12"/>
      <c r="BO162" s="13"/>
      <c r="BP162" s="13"/>
      <c r="BQ162" s="13"/>
      <c r="BR162" s="13"/>
      <c r="BS162" s="13"/>
      <c r="BT162" s="13"/>
      <c r="BU162" s="14" t="str">
        <f t="shared" si="138"/>
        <v/>
      </c>
      <c r="BV162" s="13"/>
      <c r="BW162" s="13"/>
      <c r="BX162" s="13"/>
      <c r="BY162" s="13"/>
      <c r="BZ162" s="13"/>
      <c r="CA162" s="13"/>
      <c r="CB162" s="13"/>
      <c r="CC162" s="14" t="str">
        <f t="shared" si="139"/>
        <v/>
      </c>
      <c r="CD162" s="13"/>
      <c r="CE162" s="13"/>
      <c r="CF162" s="12"/>
      <c r="CG162" s="13"/>
      <c r="CH162" s="13"/>
      <c r="CI162" s="13"/>
      <c r="CJ162" s="13"/>
      <c r="CK162" s="13"/>
      <c r="CL162" s="12"/>
      <c r="CM162" s="13"/>
      <c r="CN162" s="13"/>
      <c r="CO162" s="13"/>
      <c r="CP162" s="12"/>
    </row>
    <row r="163" spans="1:94" x14ac:dyDescent="0.2">
      <c r="A163" s="12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4" t="str">
        <f t="shared" ref="T163:T194" si="140">IF(COUNTIF(K163:S163,"Y")&gt;0,"STOP — ABS CI PRESENT","✓ Clear to Score")</f>
        <v>✓ Clear to Score</v>
      </c>
      <c r="U163" s="13"/>
      <c r="V163" s="13"/>
      <c r="W163" s="14" t="str">
        <f t="shared" ref="W163:W194" si="141">IFERROR(IF(V163="","",IF(V163="≥3.5 g/dL",0,IF(V163="3.0-3.49 g/dL",1,IF(V163="2.5-2.99 g/dL",3,0)))),"")</f>
        <v/>
      </c>
      <c r="X163" s="13"/>
      <c r="Y163" s="14" t="str">
        <f t="shared" ref="Y163:Y194" si="142">IFERROR(IF(X163="","",IF(X163="≥18 mg/dL",0,IF(X163="12-17.9 mg/dL",1,2))),"")</f>
        <v/>
      </c>
      <c r="Z163" s="13"/>
      <c r="AA163" s="14" t="str">
        <f t="shared" ref="AA163:AA194" si="143">IFERROR(IF(Z163="","",IF(ISNUMBER(SEARCH("Normal",Z163)),0,IF(ISNUMBER(SEARCH("Borderline",Z163)),1,3))),"")</f>
        <v/>
      </c>
      <c r="AB163" s="13"/>
      <c r="AC163" s="14" t="str">
        <f t="shared" ref="AC163:AC194" si="144">IFERROR(IF(U163="N",0,IF(AB163="","",IF(AB163="0.5-2.0 ng/mL",1,0))),"")</f>
        <v/>
      </c>
      <c r="AD163" s="13"/>
      <c r="AE163" s="14">
        <f t="shared" ref="AE163:AE194" si="145">IFERROR(IF(U163="N",0,IF(AD163="Y",1,0)),"")</f>
        <v>0</v>
      </c>
      <c r="AF163" s="14">
        <f t="shared" ref="AF163:AF194" si="146">IFERROR(SUM(W163,Y163,AA163,AC163,AE163),"")</f>
        <v>0</v>
      </c>
      <c r="AG163" s="13"/>
      <c r="AH163" s="14" t="str">
        <f t="shared" ref="AH163:AH194" si="147">IFERROR(IF(AG163="","",IF(AG163="Ischial",3,IF(AG163="Multiple Sites",1,0))),"")</f>
        <v/>
      </c>
      <c r="AI163" s="13"/>
      <c r="AJ163" s="14" t="str">
        <f t="shared" ref="AJ163:AJ194" si="148">IFERROR(IF(AI163="","",IF(AI163="&lt;50 cm²",0,IF(AI163="50-100 cm²",1,2))),"")</f>
        <v/>
      </c>
      <c r="AK163" s="13"/>
      <c r="AL163" s="14" t="str">
        <f t="shared" ref="AL163:AL194" si="149">IFERROR(IF(AK163="","",IF(AK163="None",0,IF(AK163="Chronic (&gt;4wk + sequestrum/sinus)",1,3))),"")</f>
        <v/>
      </c>
      <c r="AM163" s="13"/>
      <c r="AN163" s="14" t="str">
        <f t="shared" ref="AN163:AN194" si="150">IFERROR(IF(AM163="","",IF(AM163="None",0,IF(AM163="1 prior flap",2,3))),"")</f>
        <v/>
      </c>
      <c r="AO163" s="13"/>
      <c r="AP163" s="14" t="str">
        <f t="shared" ref="AP163:AP194" si="151">IFERROR(IF(AO163="","",IF(AO163="None",0,IF(AO163="Intermittent (not daily)",1,2))),"")</f>
        <v/>
      </c>
      <c r="AQ163" s="13"/>
      <c r="AR163" s="14">
        <f t="shared" ref="AR163:AR194" si="152">IFERROR(IF(OR(AG163="Lower Extremity",AG163="Multiple Sites"),IF(AQ163="Y",1,0),0),"")</f>
        <v>0</v>
      </c>
      <c r="AS163" s="13"/>
      <c r="AT163" s="14">
        <f t="shared" ref="AT163:AT194" si="153">IFERROR(IF(AS163="Y",1,0),"")</f>
        <v>0</v>
      </c>
      <c r="AU163" s="14">
        <f t="shared" ref="AU163:AU194" si="154">IFERROR(SUM(AH163,AJ163,AL163,AN163,AP163,AR163,AT163),"")</f>
        <v>0</v>
      </c>
      <c r="AV163" s="13"/>
      <c r="AW163" s="14" t="str">
        <f t="shared" ref="AW163:AW194" si="155">IFERROR(IF(AV163="","",IF(AV163="No diabetes / HbA1c &lt;7.0%",0,IF(AV163="HbA1c 7.0-7.9%",1,2))),"")</f>
        <v/>
      </c>
      <c r="AX163" s="13"/>
      <c r="AY163" s="14" t="str">
        <f t="shared" ref="AY163:AY194" si="156">IFERROR(IF(AX163="","",IF(AX163="Never / Former (&gt;6mo abstinence)",0,2)),"")</f>
        <v/>
      </c>
      <c r="AZ163" s="13"/>
      <c r="BA163" s="14" t="str">
        <f t="shared" ref="BA163:BA194" si="157">IFERROR(IF(AZ163="","",IF(AZ163="None",0,IF(AZ163="One stable condition",1,2))),"")</f>
        <v/>
      </c>
      <c r="BB163" s="13"/>
      <c r="BC163" s="14">
        <f t="shared" ref="BC163:BC194" si="158">IFERROR(IF(BB163="Y",2,0),"")</f>
        <v>0</v>
      </c>
      <c r="BD163" s="14">
        <f t="shared" ref="BD163:BD194" si="159">IFERROR(SUM(AW163,AY163,BA163,BC163),"")</f>
        <v>0</v>
      </c>
      <c r="BE163" s="13"/>
      <c r="BF163" s="14" t="str">
        <f t="shared" ref="BF163:BF194" si="160">IFERROR(IF(BE163="","",IF(BE163="Ambulatory",0,IF(BE163="Wheelchair w/ cushions",1,IF(BE163="Bedbound w/ offloading mattress",2,3)))),"")</f>
        <v/>
      </c>
      <c r="BG163" s="13"/>
      <c r="BH163" s="14" t="str">
        <f t="shared" ref="BH163:BH194" si="161">IFERROR(IF(BG163="","",IF(BG163="Reliable 24/7 care",0,IF(BG163="Some support — inconsistent",2,0))),"")</f>
        <v/>
      </c>
      <c r="BI163" s="14">
        <f t="shared" ref="BI163:BI194" si="162">IFERROR(SUM(BF163,BH163),"")</f>
        <v>0</v>
      </c>
      <c r="BJ163" s="14">
        <f t="shared" ref="BJ163:BJ194" si="163">IFERROR(IF(COUNTA(AF163,AU163,BD163,BI163)=0,"",SUM(AF163,AU163,BD163,BI163)),"")</f>
        <v>0</v>
      </c>
      <c r="BK163" s="14" t="str">
        <f t="shared" ref="BK163:BK194" si="164">IFERROR(IF(BJ163="","",IF(BJ163&lt;6,"LOW RISK",IF(BJ163&lt;13,"MODERATE RISK",IF(BJ163&lt;20,"HIGH RISK","NOT AN IDEAL CANDIDATE")))),"")</f>
        <v>LOW RISK</v>
      </c>
      <c r="BL163" s="14" t="str">
        <f t="shared" ref="BL163:BL194" si="165">IFERROR(_xlfn.SINGLE(_xlfn.TEXTJOIN(", ", TRUE(), IF(V163 = "&lt;2.5 g/dL (Abs CI)", "Albumin CI", ""), IF(AB163 = "&gt;2.0 or Sepsis (Abs CI)", "PCT CI", ""), IF(BG163 = "No support (Functional CI)", "Functional CI", ""))), "")</f>
        <v/>
      </c>
      <c r="BM163" s="13"/>
      <c r="BN163" s="12"/>
      <c r="BO163" s="13"/>
      <c r="BP163" s="13"/>
      <c r="BQ163" s="13"/>
      <c r="BR163" s="13"/>
      <c r="BS163" s="13"/>
      <c r="BT163" s="13"/>
      <c r="BU163" s="14" t="str">
        <f t="shared" ref="BU163:BU194" si="166">IFERROR(IF(BT163="","",IF(BT163&lt;6,"LOW RISK",IF(BT163&lt;13,"MODERATE RISK",IF(BT163&lt;20,"HIGH RISK","NOT AN IDEAL CANDIDATE")))),"")</f>
        <v/>
      </c>
      <c r="BV163" s="13"/>
      <c r="BW163" s="13"/>
      <c r="BX163" s="13"/>
      <c r="BY163" s="13"/>
      <c r="BZ163" s="13"/>
      <c r="CA163" s="13"/>
      <c r="CB163" s="13"/>
      <c r="CC163" s="14" t="str">
        <f t="shared" ref="CC163:CC194" si="167">IFERROR(IF(COUNTA(BV163:CB163)=0,"",IF(COUNTIF(BV163:CB163,"Y")&gt;0,"YES — EVENT","NO event")),"")</f>
        <v/>
      </c>
      <c r="CD163" s="13"/>
      <c r="CE163" s="13"/>
      <c r="CF163" s="12"/>
      <c r="CG163" s="13"/>
      <c r="CH163" s="13"/>
      <c r="CI163" s="13"/>
      <c r="CJ163" s="13"/>
      <c r="CK163" s="13"/>
      <c r="CL163" s="12"/>
      <c r="CM163" s="13"/>
      <c r="CN163" s="13"/>
      <c r="CO163" s="13"/>
      <c r="CP163" s="12"/>
    </row>
    <row r="164" spans="1:94" x14ac:dyDescent="0.2">
      <c r="A164" s="12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4" t="str">
        <f t="shared" si="140"/>
        <v>✓ Clear to Score</v>
      </c>
      <c r="U164" s="13"/>
      <c r="V164" s="13"/>
      <c r="W164" s="14" t="str">
        <f t="shared" si="141"/>
        <v/>
      </c>
      <c r="X164" s="13"/>
      <c r="Y164" s="14" t="str">
        <f t="shared" si="142"/>
        <v/>
      </c>
      <c r="Z164" s="13"/>
      <c r="AA164" s="14" t="str">
        <f t="shared" si="143"/>
        <v/>
      </c>
      <c r="AB164" s="13"/>
      <c r="AC164" s="14" t="str">
        <f t="shared" si="144"/>
        <v/>
      </c>
      <c r="AD164" s="13"/>
      <c r="AE164" s="14">
        <f t="shared" si="145"/>
        <v>0</v>
      </c>
      <c r="AF164" s="14">
        <f t="shared" si="146"/>
        <v>0</v>
      </c>
      <c r="AG164" s="13"/>
      <c r="AH164" s="14" t="str">
        <f t="shared" si="147"/>
        <v/>
      </c>
      <c r="AI164" s="13"/>
      <c r="AJ164" s="14" t="str">
        <f t="shared" si="148"/>
        <v/>
      </c>
      <c r="AK164" s="13"/>
      <c r="AL164" s="14" t="str">
        <f t="shared" si="149"/>
        <v/>
      </c>
      <c r="AM164" s="13"/>
      <c r="AN164" s="14" t="str">
        <f t="shared" si="150"/>
        <v/>
      </c>
      <c r="AO164" s="13"/>
      <c r="AP164" s="14" t="str">
        <f t="shared" si="151"/>
        <v/>
      </c>
      <c r="AQ164" s="13"/>
      <c r="AR164" s="14">
        <f t="shared" si="152"/>
        <v>0</v>
      </c>
      <c r="AS164" s="13"/>
      <c r="AT164" s="14">
        <f t="shared" si="153"/>
        <v>0</v>
      </c>
      <c r="AU164" s="14">
        <f t="shared" si="154"/>
        <v>0</v>
      </c>
      <c r="AV164" s="13"/>
      <c r="AW164" s="14" t="str">
        <f t="shared" si="155"/>
        <v/>
      </c>
      <c r="AX164" s="13"/>
      <c r="AY164" s="14" t="str">
        <f t="shared" si="156"/>
        <v/>
      </c>
      <c r="AZ164" s="13"/>
      <c r="BA164" s="14" t="str">
        <f t="shared" si="157"/>
        <v/>
      </c>
      <c r="BB164" s="13"/>
      <c r="BC164" s="14">
        <f t="shared" si="158"/>
        <v>0</v>
      </c>
      <c r="BD164" s="14">
        <f t="shared" si="159"/>
        <v>0</v>
      </c>
      <c r="BE164" s="13"/>
      <c r="BF164" s="14" t="str">
        <f t="shared" si="160"/>
        <v/>
      </c>
      <c r="BG164" s="13"/>
      <c r="BH164" s="14" t="str">
        <f t="shared" si="161"/>
        <v/>
      </c>
      <c r="BI164" s="14">
        <f t="shared" si="162"/>
        <v>0</v>
      </c>
      <c r="BJ164" s="14">
        <f t="shared" si="163"/>
        <v>0</v>
      </c>
      <c r="BK164" s="14" t="str">
        <f t="shared" si="164"/>
        <v>LOW RISK</v>
      </c>
      <c r="BL164" s="14" t="str">
        <f t="shared" si="165"/>
        <v/>
      </c>
      <c r="BM164" s="13"/>
      <c r="BN164" s="12"/>
      <c r="BO164" s="13"/>
      <c r="BP164" s="13"/>
      <c r="BQ164" s="13"/>
      <c r="BR164" s="13"/>
      <c r="BS164" s="13"/>
      <c r="BT164" s="13"/>
      <c r="BU164" s="14" t="str">
        <f t="shared" si="166"/>
        <v/>
      </c>
      <c r="BV164" s="13"/>
      <c r="BW164" s="13"/>
      <c r="BX164" s="13"/>
      <c r="BY164" s="13"/>
      <c r="BZ164" s="13"/>
      <c r="CA164" s="13"/>
      <c r="CB164" s="13"/>
      <c r="CC164" s="14" t="str">
        <f t="shared" si="167"/>
        <v/>
      </c>
      <c r="CD164" s="13"/>
      <c r="CE164" s="13"/>
      <c r="CF164" s="12"/>
      <c r="CG164" s="13"/>
      <c r="CH164" s="13"/>
      <c r="CI164" s="13"/>
      <c r="CJ164" s="13"/>
      <c r="CK164" s="13"/>
      <c r="CL164" s="12"/>
      <c r="CM164" s="13"/>
      <c r="CN164" s="13"/>
      <c r="CO164" s="13"/>
      <c r="CP164" s="12"/>
    </row>
    <row r="165" spans="1:94" x14ac:dyDescent="0.2">
      <c r="A165" s="12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4" t="str">
        <f t="shared" si="140"/>
        <v>✓ Clear to Score</v>
      </c>
      <c r="U165" s="13"/>
      <c r="V165" s="13"/>
      <c r="W165" s="14" t="str">
        <f t="shared" si="141"/>
        <v/>
      </c>
      <c r="X165" s="13"/>
      <c r="Y165" s="14" t="str">
        <f t="shared" si="142"/>
        <v/>
      </c>
      <c r="Z165" s="13"/>
      <c r="AA165" s="14" t="str">
        <f t="shared" si="143"/>
        <v/>
      </c>
      <c r="AB165" s="13"/>
      <c r="AC165" s="14" t="str">
        <f t="shared" si="144"/>
        <v/>
      </c>
      <c r="AD165" s="13"/>
      <c r="AE165" s="14">
        <f t="shared" si="145"/>
        <v>0</v>
      </c>
      <c r="AF165" s="14">
        <f t="shared" si="146"/>
        <v>0</v>
      </c>
      <c r="AG165" s="13"/>
      <c r="AH165" s="14" t="str">
        <f t="shared" si="147"/>
        <v/>
      </c>
      <c r="AI165" s="13"/>
      <c r="AJ165" s="14" t="str">
        <f t="shared" si="148"/>
        <v/>
      </c>
      <c r="AK165" s="13"/>
      <c r="AL165" s="14" t="str">
        <f t="shared" si="149"/>
        <v/>
      </c>
      <c r="AM165" s="13"/>
      <c r="AN165" s="14" t="str">
        <f t="shared" si="150"/>
        <v/>
      </c>
      <c r="AO165" s="13"/>
      <c r="AP165" s="14" t="str">
        <f t="shared" si="151"/>
        <v/>
      </c>
      <c r="AQ165" s="13"/>
      <c r="AR165" s="14">
        <f t="shared" si="152"/>
        <v>0</v>
      </c>
      <c r="AS165" s="13"/>
      <c r="AT165" s="14">
        <f t="shared" si="153"/>
        <v>0</v>
      </c>
      <c r="AU165" s="14">
        <f t="shared" si="154"/>
        <v>0</v>
      </c>
      <c r="AV165" s="13"/>
      <c r="AW165" s="14" t="str">
        <f t="shared" si="155"/>
        <v/>
      </c>
      <c r="AX165" s="13"/>
      <c r="AY165" s="14" t="str">
        <f t="shared" si="156"/>
        <v/>
      </c>
      <c r="AZ165" s="13"/>
      <c r="BA165" s="14" t="str">
        <f t="shared" si="157"/>
        <v/>
      </c>
      <c r="BB165" s="13"/>
      <c r="BC165" s="14">
        <f t="shared" si="158"/>
        <v>0</v>
      </c>
      <c r="BD165" s="14">
        <f t="shared" si="159"/>
        <v>0</v>
      </c>
      <c r="BE165" s="13"/>
      <c r="BF165" s="14" t="str">
        <f t="shared" si="160"/>
        <v/>
      </c>
      <c r="BG165" s="13"/>
      <c r="BH165" s="14" t="str">
        <f t="shared" si="161"/>
        <v/>
      </c>
      <c r="BI165" s="14">
        <f t="shared" si="162"/>
        <v>0</v>
      </c>
      <c r="BJ165" s="14">
        <f t="shared" si="163"/>
        <v>0</v>
      </c>
      <c r="BK165" s="14" t="str">
        <f t="shared" si="164"/>
        <v>LOW RISK</v>
      </c>
      <c r="BL165" s="14" t="str">
        <f t="shared" si="165"/>
        <v/>
      </c>
      <c r="BM165" s="13"/>
      <c r="BN165" s="12"/>
      <c r="BO165" s="13"/>
      <c r="BP165" s="13"/>
      <c r="BQ165" s="13"/>
      <c r="BR165" s="13"/>
      <c r="BS165" s="13"/>
      <c r="BT165" s="13"/>
      <c r="BU165" s="14" t="str">
        <f t="shared" si="166"/>
        <v/>
      </c>
      <c r="BV165" s="13"/>
      <c r="BW165" s="13"/>
      <c r="BX165" s="13"/>
      <c r="BY165" s="13"/>
      <c r="BZ165" s="13"/>
      <c r="CA165" s="13"/>
      <c r="CB165" s="13"/>
      <c r="CC165" s="14" t="str">
        <f t="shared" si="167"/>
        <v/>
      </c>
      <c r="CD165" s="13"/>
      <c r="CE165" s="13"/>
      <c r="CF165" s="12"/>
      <c r="CG165" s="13"/>
      <c r="CH165" s="13"/>
      <c r="CI165" s="13"/>
      <c r="CJ165" s="13"/>
      <c r="CK165" s="13"/>
      <c r="CL165" s="12"/>
      <c r="CM165" s="13"/>
      <c r="CN165" s="13"/>
      <c r="CO165" s="13"/>
      <c r="CP165" s="12"/>
    </row>
    <row r="166" spans="1:94" x14ac:dyDescent="0.2">
      <c r="A166" s="12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4" t="str">
        <f t="shared" si="140"/>
        <v>✓ Clear to Score</v>
      </c>
      <c r="U166" s="13"/>
      <c r="V166" s="13"/>
      <c r="W166" s="14" t="str">
        <f t="shared" si="141"/>
        <v/>
      </c>
      <c r="X166" s="13"/>
      <c r="Y166" s="14" t="str">
        <f t="shared" si="142"/>
        <v/>
      </c>
      <c r="Z166" s="13"/>
      <c r="AA166" s="14" t="str">
        <f t="shared" si="143"/>
        <v/>
      </c>
      <c r="AB166" s="13"/>
      <c r="AC166" s="14" t="str">
        <f t="shared" si="144"/>
        <v/>
      </c>
      <c r="AD166" s="13"/>
      <c r="AE166" s="14">
        <f t="shared" si="145"/>
        <v>0</v>
      </c>
      <c r="AF166" s="14">
        <f t="shared" si="146"/>
        <v>0</v>
      </c>
      <c r="AG166" s="13"/>
      <c r="AH166" s="14" t="str">
        <f t="shared" si="147"/>
        <v/>
      </c>
      <c r="AI166" s="13"/>
      <c r="AJ166" s="14" t="str">
        <f t="shared" si="148"/>
        <v/>
      </c>
      <c r="AK166" s="13"/>
      <c r="AL166" s="14" t="str">
        <f t="shared" si="149"/>
        <v/>
      </c>
      <c r="AM166" s="13"/>
      <c r="AN166" s="14" t="str">
        <f t="shared" si="150"/>
        <v/>
      </c>
      <c r="AO166" s="13"/>
      <c r="AP166" s="14" t="str">
        <f t="shared" si="151"/>
        <v/>
      </c>
      <c r="AQ166" s="13"/>
      <c r="AR166" s="14">
        <f t="shared" si="152"/>
        <v>0</v>
      </c>
      <c r="AS166" s="13"/>
      <c r="AT166" s="14">
        <f t="shared" si="153"/>
        <v>0</v>
      </c>
      <c r="AU166" s="14">
        <f t="shared" si="154"/>
        <v>0</v>
      </c>
      <c r="AV166" s="13"/>
      <c r="AW166" s="14" t="str">
        <f t="shared" si="155"/>
        <v/>
      </c>
      <c r="AX166" s="13"/>
      <c r="AY166" s="14" t="str">
        <f t="shared" si="156"/>
        <v/>
      </c>
      <c r="AZ166" s="13"/>
      <c r="BA166" s="14" t="str">
        <f t="shared" si="157"/>
        <v/>
      </c>
      <c r="BB166" s="13"/>
      <c r="BC166" s="14">
        <f t="shared" si="158"/>
        <v>0</v>
      </c>
      <c r="BD166" s="14">
        <f t="shared" si="159"/>
        <v>0</v>
      </c>
      <c r="BE166" s="13"/>
      <c r="BF166" s="14" t="str">
        <f t="shared" si="160"/>
        <v/>
      </c>
      <c r="BG166" s="13"/>
      <c r="BH166" s="14" t="str">
        <f t="shared" si="161"/>
        <v/>
      </c>
      <c r="BI166" s="14">
        <f t="shared" si="162"/>
        <v>0</v>
      </c>
      <c r="BJ166" s="14">
        <f t="shared" si="163"/>
        <v>0</v>
      </c>
      <c r="BK166" s="14" t="str">
        <f t="shared" si="164"/>
        <v>LOW RISK</v>
      </c>
      <c r="BL166" s="14" t="str">
        <f t="shared" si="165"/>
        <v/>
      </c>
      <c r="BM166" s="13"/>
      <c r="BN166" s="12"/>
      <c r="BO166" s="13"/>
      <c r="BP166" s="13"/>
      <c r="BQ166" s="13"/>
      <c r="BR166" s="13"/>
      <c r="BS166" s="13"/>
      <c r="BT166" s="13"/>
      <c r="BU166" s="14" t="str">
        <f t="shared" si="166"/>
        <v/>
      </c>
      <c r="BV166" s="13"/>
      <c r="BW166" s="13"/>
      <c r="BX166" s="13"/>
      <c r="BY166" s="13"/>
      <c r="BZ166" s="13"/>
      <c r="CA166" s="13"/>
      <c r="CB166" s="13"/>
      <c r="CC166" s="14" t="str">
        <f t="shared" si="167"/>
        <v/>
      </c>
      <c r="CD166" s="13"/>
      <c r="CE166" s="13"/>
      <c r="CF166" s="12"/>
      <c r="CG166" s="13"/>
      <c r="CH166" s="13"/>
      <c r="CI166" s="13"/>
      <c r="CJ166" s="13"/>
      <c r="CK166" s="13"/>
      <c r="CL166" s="12"/>
      <c r="CM166" s="13"/>
      <c r="CN166" s="13"/>
      <c r="CO166" s="13"/>
      <c r="CP166" s="12"/>
    </row>
    <row r="167" spans="1:94" x14ac:dyDescent="0.2">
      <c r="A167" s="12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4" t="str">
        <f t="shared" si="140"/>
        <v>✓ Clear to Score</v>
      </c>
      <c r="U167" s="13"/>
      <c r="V167" s="13"/>
      <c r="W167" s="14" t="str">
        <f t="shared" si="141"/>
        <v/>
      </c>
      <c r="X167" s="13"/>
      <c r="Y167" s="14" t="str">
        <f t="shared" si="142"/>
        <v/>
      </c>
      <c r="Z167" s="13"/>
      <c r="AA167" s="14" t="str">
        <f t="shared" si="143"/>
        <v/>
      </c>
      <c r="AB167" s="13"/>
      <c r="AC167" s="14" t="str">
        <f t="shared" si="144"/>
        <v/>
      </c>
      <c r="AD167" s="13"/>
      <c r="AE167" s="14">
        <f t="shared" si="145"/>
        <v>0</v>
      </c>
      <c r="AF167" s="14">
        <f t="shared" si="146"/>
        <v>0</v>
      </c>
      <c r="AG167" s="13"/>
      <c r="AH167" s="14" t="str">
        <f t="shared" si="147"/>
        <v/>
      </c>
      <c r="AI167" s="13"/>
      <c r="AJ167" s="14" t="str">
        <f t="shared" si="148"/>
        <v/>
      </c>
      <c r="AK167" s="13"/>
      <c r="AL167" s="14" t="str">
        <f t="shared" si="149"/>
        <v/>
      </c>
      <c r="AM167" s="13"/>
      <c r="AN167" s="14" t="str">
        <f t="shared" si="150"/>
        <v/>
      </c>
      <c r="AO167" s="13"/>
      <c r="AP167" s="14" t="str">
        <f t="shared" si="151"/>
        <v/>
      </c>
      <c r="AQ167" s="13"/>
      <c r="AR167" s="14">
        <f t="shared" si="152"/>
        <v>0</v>
      </c>
      <c r="AS167" s="13"/>
      <c r="AT167" s="14">
        <f t="shared" si="153"/>
        <v>0</v>
      </c>
      <c r="AU167" s="14">
        <f t="shared" si="154"/>
        <v>0</v>
      </c>
      <c r="AV167" s="13"/>
      <c r="AW167" s="14" t="str">
        <f t="shared" si="155"/>
        <v/>
      </c>
      <c r="AX167" s="13"/>
      <c r="AY167" s="14" t="str">
        <f t="shared" si="156"/>
        <v/>
      </c>
      <c r="AZ167" s="13"/>
      <c r="BA167" s="14" t="str">
        <f t="shared" si="157"/>
        <v/>
      </c>
      <c r="BB167" s="13"/>
      <c r="BC167" s="14">
        <f t="shared" si="158"/>
        <v>0</v>
      </c>
      <c r="BD167" s="14">
        <f t="shared" si="159"/>
        <v>0</v>
      </c>
      <c r="BE167" s="13"/>
      <c r="BF167" s="14" t="str">
        <f t="shared" si="160"/>
        <v/>
      </c>
      <c r="BG167" s="13"/>
      <c r="BH167" s="14" t="str">
        <f t="shared" si="161"/>
        <v/>
      </c>
      <c r="BI167" s="14">
        <f t="shared" si="162"/>
        <v>0</v>
      </c>
      <c r="BJ167" s="14">
        <f t="shared" si="163"/>
        <v>0</v>
      </c>
      <c r="BK167" s="14" t="str">
        <f t="shared" si="164"/>
        <v>LOW RISK</v>
      </c>
      <c r="BL167" s="14" t="str">
        <f t="shared" si="165"/>
        <v/>
      </c>
      <c r="BM167" s="13"/>
      <c r="BN167" s="12"/>
      <c r="BO167" s="13"/>
      <c r="BP167" s="13"/>
      <c r="BQ167" s="13"/>
      <c r="BR167" s="13"/>
      <c r="BS167" s="13"/>
      <c r="BT167" s="13"/>
      <c r="BU167" s="14" t="str">
        <f t="shared" si="166"/>
        <v/>
      </c>
      <c r="BV167" s="13"/>
      <c r="BW167" s="13"/>
      <c r="BX167" s="13"/>
      <c r="BY167" s="13"/>
      <c r="BZ167" s="13"/>
      <c r="CA167" s="13"/>
      <c r="CB167" s="13"/>
      <c r="CC167" s="14" t="str">
        <f t="shared" si="167"/>
        <v/>
      </c>
      <c r="CD167" s="13"/>
      <c r="CE167" s="13"/>
      <c r="CF167" s="12"/>
      <c r="CG167" s="13"/>
      <c r="CH167" s="13"/>
      <c r="CI167" s="13"/>
      <c r="CJ167" s="13"/>
      <c r="CK167" s="13"/>
      <c r="CL167" s="12"/>
      <c r="CM167" s="13"/>
      <c r="CN167" s="13"/>
      <c r="CO167" s="13"/>
      <c r="CP167" s="12"/>
    </row>
    <row r="168" spans="1:94" x14ac:dyDescent="0.2">
      <c r="A168" s="12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4" t="str">
        <f t="shared" si="140"/>
        <v>✓ Clear to Score</v>
      </c>
      <c r="U168" s="13"/>
      <c r="V168" s="13"/>
      <c r="W168" s="14" t="str">
        <f t="shared" si="141"/>
        <v/>
      </c>
      <c r="X168" s="13"/>
      <c r="Y168" s="14" t="str">
        <f t="shared" si="142"/>
        <v/>
      </c>
      <c r="Z168" s="13"/>
      <c r="AA168" s="14" t="str">
        <f t="shared" si="143"/>
        <v/>
      </c>
      <c r="AB168" s="13"/>
      <c r="AC168" s="14" t="str">
        <f t="shared" si="144"/>
        <v/>
      </c>
      <c r="AD168" s="13"/>
      <c r="AE168" s="14">
        <f t="shared" si="145"/>
        <v>0</v>
      </c>
      <c r="AF168" s="14">
        <f t="shared" si="146"/>
        <v>0</v>
      </c>
      <c r="AG168" s="13"/>
      <c r="AH168" s="14" t="str">
        <f t="shared" si="147"/>
        <v/>
      </c>
      <c r="AI168" s="13"/>
      <c r="AJ168" s="14" t="str">
        <f t="shared" si="148"/>
        <v/>
      </c>
      <c r="AK168" s="13"/>
      <c r="AL168" s="14" t="str">
        <f t="shared" si="149"/>
        <v/>
      </c>
      <c r="AM168" s="13"/>
      <c r="AN168" s="14" t="str">
        <f t="shared" si="150"/>
        <v/>
      </c>
      <c r="AO168" s="13"/>
      <c r="AP168" s="14" t="str">
        <f t="shared" si="151"/>
        <v/>
      </c>
      <c r="AQ168" s="13"/>
      <c r="AR168" s="14">
        <f t="shared" si="152"/>
        <v>0</v>
      </c>
      <c r="AS168" s="13"/>
      <c r="AT168" s="14">
        <f t="shared" si="153"/>
        <v>0</v>
      </c>
      <c r="AU168" s="14">
        <f t="shared" si="154"/>
        <v>0</v>
      </c>
      <c r="AV168" s="13"/>
      <c r="AW168" s="14" t="str">
        <f t="shared" si="155"/>
        <v/>
      </c>
      <c r="AX168" s="13"/>
      <c r="AY168" s="14" t="str">
        <f t="shared" si="156"/>
        <v/>
      </c>
      <c r="AZ168" s="13"/>
      <c r="BA168" s="14" t="str">
        <f t="shared" si="157"/>
        <v/>
      </c>
      <c r="BB168" s="13"/>
      <c r="BC168" s="14">
        <f t="shared" si="158"/>
        <v>0</v>
      </c>
      <c r="BD168" s="14">
        <f t="shared" si="159"/>
        <v>0</v>
      </c>
      <c r="BE168" s="13"/>
      <c r="BF168" s="14" t="str">
        <f t="shared" si="160"/>
        <v/>
      </c>
      <c r="BG168" s="13"/>
      <c r="BH168" s="14" t="str">
        <f t="shared" si="161"/>
        <v/>
      </c>
      <c r="BI168" s="14">
        <f t="shared" si="162"/>
        <v>0</v>
      </c>
      <c r="BJ168" s="14">
        <f t="shared" si="163"/>
        <v>0</v>
      </c>
      <c r="BK168" s="14" t="str">
        <f t="shared" si="164"/>
        <v>LOW RISK</v>
      </c>
      <c r="BL168" s="14" t="str">
        <f t="shared" si="165"/>
        <v/>
      </c>
      <c r="BM168" s="13"/>
      <c r="BN168" s="12"/>
      <c r="BO168" s="13"/>
      <c r="BP168" s="13"/>
      <c r="BQ168" s="13"/>
      <c r="BR168" s="13"/>
      <c r="BS168" s="13"/>
      <c r="BT168" s="13"/>
      <c r="BU168" s="14" t="str">
        <f t="shared" si="166"/>
        <v/>
      </c>
      <c r="BV168" s="13"/>
      <c r="BW168" s="13"/>
      <c r="BX168" s="13"/>
      <c r="BY168" s="13"/>
      <c r="BZ168" s="13"/>
      <c r="CA168" s="13"/>
      <c r="CB168" s="13"/>
      <c r="CC168" s="14" t="str">
        <f t="shared" si="167"/>
        <v/>
      </c>
      <c r="CD168" s="13"/>
      <c r="CE168" s="13"/>
      <c r="CF168" s="12"/>
      <c r="CG168" s="13"/>
      <c r="CH168" s="13"/>
      <c r="CI168" s="13"/>
      <c r="CJ168" s="13"/>
      <c r="CK168" s="13"/>
      <c r="CL168" s="12"/>
      <c r="CM168" s="13"/>
      <c r="CN168" s="13"/>
      <c r="CO168" s="13"/>
      <c r="CP168" s="12"/>
    </row>
    <row r="169" spans="1:94" x14ac:dyDescent="0.2">
      <c r="A169" s="12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4" t="str">
        <f t="shared" si="140"/>
        <v>✓ Clear to Score</v>
      </c>
      <c r="U169" s="13"/>
      <c r="V169" s="13"/>
      <c r="W169" s="14" t="str">
        <f t="shared" si="141"/>
        <v/>
      </c>
      <c r="X169" s="13"/>
      <c r="Y169" s="14" t="str">
        <f t="shared" si="142"/>
        <v/>
      </c>
      <c r="Z169" s="13"/>
      <c r="AA169" s="14" t="str">
        <f t="shared" si="143"/>
        <v/>
      </c>
      <c r="AB169" s="13"/>
      <c r="AC169" s="14" t="str">
        <f t="shared" si="144"/>
        <v/>
      </c>
      <c r="AD169" s="13"/>
      <c r="AE169" s="14">
        <f t="shared" si="145"/>
        <v>0</v>
      </c>
      <c r="AF169" s="14">
        <f t="shared" si="146"/>
        <v>0</v>
      </c>
      <c r="AG169" s="13"/>
      <c r="AH169" s="14" t="str">
        <f t="shared" si="147"/>
        <v/>
      </c>
      <c r="AI169" s="13"/>
      <c r="AJ169" s="14" t="str">
        <f t="shared" si="148"/>
        <v/>
      </c>
      <c r="AK169" s="13"/>
      <c r="AL169" s="14" t="str">
        <f t="shared" si="149"/>
        <v/>
      </c>
      <c r="AM169" s="13"/>
      <c r="AN169" s="14" t="str">
        <f t="shared" si="150"/>
        <v/>
      </c>
      <c r="AO169" s="13"/>
      <c r="AP169" s="14" t="str">
        <f t="shared" si="151"/>
        <v/>
      </c>
      <c r="AQ169" s="13"/>
      <c r="AR169" s="14">
        <f t="shared" si="152"/>
        <v>0</v>
      </c>
      <c r="AS169" s="13"/>
      <c r="AT169" s="14">
        <f t="shared" si="153"/>
        <v>0</v>
      </c>
      <c r="AU169" s="14">
        <f t="shared" si="154"/>
        <v>0</v>
      </c>
      <c r="AV169" s="13"/>
      <c r="AW169" s="14" t="str">
        <f t="shared" si="155"/>
        <v/>
      </c>
      <c r="AX169" s="13"/>
      <c r="AY169" s="14" t="str">
        <f t="shared" si="156"/>
        <v/>
      </c>
      <c r="AZ169" s="13"/>
      <c r="BA169" s="14" t="str">
        <f t="shared" si="157"/>
        <v/>
      </c>
      <c r="BB169" s="13"/>
      <c r="BC169" s="14">
        <f t="shared" si="158"/>
        <v>0</v>
      </c>
      <c r="BD169" s="14">
        <f t="shared" si="159"/>
        <v>0</v>
      </c>
      <c r="BE169" s="13"/>
      <c r="BF169" s="14" t="str">
        <f t="shared" si="160"/>
        <v/>
      </c>
      <c r="BG169" s="13"/>
      <c r="BH169" s="14" t="str">
        <f t="shared" si="161"/>
        <v/>
      </c>
      <c r="BI169" s="14">
        <f t="shared" si="162"/>
        <v>0</v>
      </c>
      <c r="BJ169" s="14">
        <f t="shared" si="163"/>
        <v>0</v>
      </c>
      <c r="BK169" s="14" t="str">
        <f t="shared" si="164"/>
        <v>LOW RISK</v>
      </c>
      <c r="BL169" s="14" t="str">
        <f t="shared" si="165"/>
        <v/>
      </c>
      <c r="BM169" s="13"/>
      <c r="BN169" s="12"/>
      <c r="BO169" s="13"/>
      <c r="BP169" s="13"/>
      <c r="BQ169" s="13"/>
      <c r="BR169" s="13"/>
      <c r="BS169" s="13"/>
      <c r="BT169" s="13"/>
      <c r="BU169" s="14" t="str">
        <f t="shared" si="166"/>
        <v/>
      </c>
      <c r="BV169" s="13"/>
      <c r="BW169" s="13"/>
      <c r="BX169" s="13"/>
      <c r="BY169" s="13"/>
      <c r="BZ169" s="13"/>
      <c r="CA169" s="13"/>
      <c r="CB169" s="13"/>
      <c r="CC169" s="14" t="str">
        <f t="shared" si="167"/>
        <v/>
      </c>
      <c r="CD169" s="13"/>
      <c r="CE169" s="13"/>
      <c r="CF169" s="12"/>
      <c r="CG169" s="13"/>
      <c r="CH169" s="13"/>
      <c r="CI169" s="13"/>
      <c r="CJ169" s="13"/>
      <c r="CK169" s="13"/>
      <c r="CL169" s="12"/>
      <c r="CM169" s="13"/>
      <c r="CN169" s="13"/>
      <c r="CO169" s="13"/>
      <c r="CP169" s="12"/>
    </row>
    <row r="170" spans="1:94" x14ac:dyDescent="0.2">
      <c r="A170" s="12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4" t="str">
        <f t="shared" si="140"/>
        <v>✓ Clear to Score</v>
      </c>
      <c r="U170" s="13"/>
      <c r="V170" s="13"/>
      <c r="W170" s="14" t="str">
        <f t="shared" si="141"/>
        <v/>
      </c>
      <c r="X170" s="13"/>
      <c r="Y170" s="14" t="str">
        <f t="shared" si="142"/>
        <v/>
      </c>
      <c r="Z170" s="13"/>
      <c r="AA170" s="14" t="str">
        <f t="shared" si="143"/>
        <v/>
      </c>
      <c r="AB170" s="13"/>
      <c r="AC170" s="14" t="str">
        <f t="shared" si="144"/>
        <v/>
      </c>
      <c r="AD170" s="13"/>
      <c r="AE170" s="14">
        <f t="shared" si="145"/>
        <v>0</v>
      </c>
      <c r="AF170" s="14">
        <f t="shared" si="146"/>
        <v>0</v>
      </c>
      <c r="AG170" s="13"/>
      <c r="AH170" s="14" t="str">
        <f t="shared" si="147"/>
        <v/>
      </c>
      <c r="AI170" s="13"/>
      <c r="AJ170" s="14" t="str">
        <f t="shared" si="148"/>
        <v/>
      </c>
      <c r="AK170" s="13"/>
      <c r="AL170" s="14" t="str">
        <f t="shared" si="149"/>
        <v/>
      </c>
      <c r="AM170" s="13"/>
      <c r="AN170" s="14" t="str">
        <f t="shared" si="150"/>
        <v/>
      </c>
      <c r="AO170" s="13"/>
      <c r="AP170" s="14" t="str">
        <f t="shared" si="151"/>
        <v/>
      </c>
      <c r="AQ170" s="13"/>
      <c r="AR170" s="14">
        <f t="shared" si="152"/>
        <v>0</v>
      </c>
      <c r="AS170" s="13"/>
      <c r="AT170" s="14">
        <f t="shared" si="153"/>
        <v>0</v>
      </c>
      <c r="AU170" s="14">
        <f t="shared" si="154"/>
        <v>0</v>
      </c>
      <c r="AV170" s="13"/>
      <c r="AW170" s="14" t="str">
        <f t="shared" si="155"/>
        <v/>
      </c>
      <c r="AX170" s="13"/>
      <c r="AY170" s="14" t="str">
        <f t="shared" si="156"/>
        <v/>
      </c>
      <c r="AZ170" s="13"/>
      <c r="BA170" s="14" t="str">
        <f t="shared" si="157"/>
        <v/>
      </c>
      <c r="BB170" s="13"/>
      <c r="BC170" s="14">
        <f t="shared" si="158"/>
        <v>0</v>
      </c>
      <c r="BD170" s="14">
        <f t="shared" si="159"/>
        <v>0</v>
      </c>
      <c r="BE170" s="13"/>
      <c r="BF170" s="14" t="str">
        <f t="shared" si="160"/>
        <v/>
      </c>
      <c r="BG170" s="13"/>
      <c r="BH170" s="14" t="str">
        <f t="shared" si="161"/>
        <v/>
      </c>
      <c r="BI170" s="14">
        <f t="shared" si="162"/>
        <v>0</v>
      </c>
      <c r="BJ170" s="14">
        <f t="shared" si="163"/>
        <v>0</v>
      </c>
      <c r="BK170" s="14" t="str">
        <f t="shared" si="164"/>
        <v>LOW RISK</v>
      </c>
      <c r="BL170" s="14" t="str">
        <f t="shared" si="165"/>
        <v/>
      </c>
      <c r="BM170" s="13"/>
      <c r="BN170" s="12"/>
      <c r="BO170" s="13"/>
      <c r="BP170" s="13"/>
      <c r="BQ170" s="13"/>
      <c r="BR170" s="13"/>
      <c r="BS170" s="13"/>
      <c r="BT170" s="13"/>
      <c r="BU170" s="14" t="str">
        <f t="shared" si="166"/>
        <v/>
      </c>
      <c r="BV170" s="13"/>
      <c r="BW170" s="13"/>
      <c r="BX170" s="13"/>
      <c r="BY170" s="13"/>
      <c r="BZ170" s="13"/>
      <c r="CA170" s="13"/>
      <c r="CB170" s="13"/>
      <c r="CC170" s="14" t="str">
        <f t="shared" si="167"/>
        <v/>
      </c>
      <c r="CD170" s="13"/>
      <c r="CE170" s="13"/>
      <c r="CF170" s="12"/>
      <c r="CG170" s="13"/>
      <c r="CH170" s="13"/>
      <c r="CI170" s="13"/>
      <c r="CJ170" s="13"/>
      <c r="CK170" s="13"/>
      <c r="CL170" s="12"/>
      <c r="CM170" s="13"/>
      <c r="CN170" s="13"/>
      <c r="CO170" s="13"/>
      <c r="CP170" s="12"/>
    </row>
    <row r="171" spans="1:94" x14ac:dyDescent="0.2">
      <c r="A171" s="12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4" t="str">
        <f t="shared" si="140"/>
        <v>✓ Clear to Score</v>
      </c>
      <c r="U171" s="13"/>
      <c r="V171" s="13"/>
      <c r="W171" s="14" t="str">
        <f t="shared" si="141"/>
        <v/>
      </c>
      <c r="X171" s="13"/>
      <c r="Y171" s="14" t="str">
        <f t="shared" si="142"/>
        <v/>
      </c>
      <c r="Z171" s="13"/>
      <c r="AA171" s="14" t="str">
        <f t="shared" si="143"/>
        <v/>
      </c>
      <c r="AB171" s="13"/>
      <c r="AC171" s="14" t="str">
        <f t="shared" si="144"/>
        <v/>
      </c>
      <c r="AD171" s="13"/>
      <c r="AE171" s="14">
        <f t="shared" si="145"/>
        <v>0</v>
      </c>
      <c r="AF171" s="14">
        <f t="shared" si="146"/>
        <v>0</v>
      </c>
      <c r="AG171" s="13"/>
      <c r="AH171" s="14" t="str">
        <f t="shared" si="147"/>
        <v/>
      </c>
      <c r="AI171" s="13"/>
      <c r="AJ171" s="14" t="str">
        <f t="shared" si="148"/>
        <v/>
      </c>
      <c r="AK171" s="13"/>
      <c r="AL171" s="14" t="str">
        <f t="shared" si="149"/>
        <v/>
      </c>
      <c r="AM171" s="13"/>
      <c r="AN171" s="14" t="str">
        <f t="shared" si="150"/>
        <v/>
      </c>
      <c r="AO171" s="13"/>
      <c r="AP171" s="14" t="str">
        <f t="shared" si="151"/>
        <v/>
      </c>
      <c r="AQ171" s="13"/>
      <c r="AR171" s="14">
        <f t="shared" si="152"/>
        <v>0</v>
      </c>
      <c r="AS171" s="13"/>
      <c r="AT171" s="14">
        <f t="shared" si="153"/>
        <v>0</v>
      </c>
      <c r="AU171" s="14">
        <f t="shared" si="154"/>
        <v>0</v>
      </c>
      <c r="AV171" s="13"/>
      <c r="AW171" s="14" t="str">
        <f t="shared" si="155"/>
        <v/>
      </c>
      <c r="AX171" s="13"/>
      <c r="AY171" s="14" t="str">
        <f t="shared" si="156"/>
        <v/>
      </c>
      <c r="AZ171" s="13"/>
      <c r="BA171" s="14" t="str">
        <f t="shared" si="157"/>
        <v/>
      </c>
      <c r="BB171" s="13"/>
      <c r="BC171" s="14">
        <f t="shared" si="158"/>
        <v>0</v>
      </c>
      <c r="BD171" s="14">
        <f t="shared" si="159"/>
        <v>0</v>
      </c>
      <c r="BE171" s="13"/>
      <c r="BF171" s="14" t="str">
        <f t="shared" si="160"/>
        <v/>
      </c>
      <c r="BG171" s="13"/>
      <c r="BH171" s="14" t="str">
        <f t="shared" si="161"/>
        <v/>
      </c>
      <c r="BI171" s="14">
        <f t="shared" si="162"/>
        <v>0</v>
      </c>
      <c r="BJ171" s="14">
        <f t="shared" si="163"/>
        <v>0</v>
      </c>
      <c r="BK171" s="14" t="str">
        <f t="shared" si="164"/>
        <v>LOW RISK</v>
      </c>
      <c r="BL171" s="14" t="str">
        <f t="shared" si="165"/>
        <v/>
      </c>
      <c r="BM171" s="13"/>
      <c r="BN171" s="12"/>
      <c r="BO171" s="13"/>
      <c r="BP171" s="13"/>
      <c r="BQ171" s="13"/>
      <c r="BR171" s="13"/>
      <c r="BS171" s="13"/>
      <c r="BT171" s="13"/>
      <c r="BU171" s="14" t="str">
        <f t="shared" si="166"/>
        <v/>
      </c>
      <c r="BV171" s="13"/>
      <c r="BW171" s="13"/>
      <c r="BX171" s="13"/>
      <c r="BY171" s="13"/>
      <c r="BZ171" s="13"/>
      <c r="CA171" s="13"/>
      <c r="CB171" s="13"/>
      <c r="CC171" s="14" t="str">
        <f t="shared" si="167"/>
        <v/>
      </c>
      <c r="CD171" s="13"/>
      <c r="CE171" s="13"/>
      <c r="CF171" s="12"/>
      <c r="CG171" s="13"/>
      <c r="CH171" s="13"/>
      <c r="CI171" s="13"/>
      <c r="CJ171" s="13"/>
      <c r="CK171" s="13"/>
      <c r="CL171" s="12"/>
      <c r="CM171" s="13"/>
      <c r="CN171" s="13"/>
      <c r="CO171" s="13"/>
      <c r="CP171" s="12"/>
    </row>
    <row r="172" spans="1:94" x14ac:dyDescent="0.2">
      <c r="A172" s="12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4" t="str">
        <f t="shared" si="140"/>
        <v>✓ Clear to Score</v>
      </c>
      <c r="U172" s="13"/>
      <c r="V172" s="13"/>
      <c r="W172" s="14" t="str">
        <f t="shared" si="141"/>
        <v/>
      </c>
      <c r="X172" s="13"/>
      <c r="Y172" s="14" t="str">
        <f t="shared" si="142"/>
        <v/>
      </c>
      <c r="Z172" s="13"/>
      <c r="AA172" s="14" t="str">
        <f t="shared" si="143"/>
        <v/>
      </c>
      <c r="AB172" s="13"/>
      <c r="AC172" s="14" t="str">
        <f t="shared" si="144"/>
        <v/>
      </c>
      <c r="AD172" s="13"/>
      <c r="AE172" s="14">
        <f t="shared" si="145"/>
        <v>0</v>
      </c>
      <c r="AF172" s="14">
        <f t="shared" si="146"/>
        <v>0</v>
      </c>
      <c r="AG172" s="13"/>
      <c r="AH172" s="14" t="str">
        <f t="shared" si="147"/>
        <v/>
      </c>
      <c r="AI172" s="13"/>
      <c r="AJ172" s="14" t="str">
        <f t="shared" si="148"/>
        <v/>
      </c>
      <c r="AK172" s="13"/>
      <c r="AL172" s="14" t="str">
        <f t="shared" si="149"/>
        <v/>
      </c>
      <c r="AM172" s="13"/>
      <c r="AN172" s="14" t="str">
        <f t="shared" si="150"/>
        <v/>
      </c>
      <c r="AO172" s="13"/>
      <c r="AP172" s="14" t="str">
        <f t="shared" si="151"/>
        <v/>
      </c>
      <c r="AQ172" s="13"/>
      <c r="AR172" s="14">
        <f t="shared" si="152"/>
        <v>0</v>
      </c>
      <c r="AS172" s="13"/>
      <c r="AT172" s="14">
        <f t="shared" si="153"/>
        <v>0</v>
      </c>
      <c r="AU172" s="14">
        <f t="shared" si="154"/>
        <v>0</v>
      </c>
      <c r="AV172" s="13"/>
      <c r="AW172" s="14" t="str">
        <f t="shared" si="155"/>
        <v/>
      </c>
      <c r="AX172" s="13"/>
      <c r="AY172" s="14" t="str">
        <f t="shared" si="156"/>
        <v/>
      </c>
      <c r="AZ172" s="13"/>
      <c r="BA172" s="14" t="str">
        <f t="shared" si="157"/>
        <v/>
      </c>
      <c r="BB172" s="13"/>
      <c r="BC172" s="14">
        <f t="shared" si="158"/>
        <v>0</v>
      </c>
      <c r="BD172" s="14">
        <f t="shared" si="159"/>
        <v>0</v>
      </c>
      <c r="BE172" s="13"/>
      <c r="BF172" s="14" t="str">
        <f t="shared" si="160"/>
        <v/>
      </c>
      <c r="BG172" s="13"/>
      <c r="BH172" s="14" t="str">
        <f t="shared" si="161"/>
        <v/>
      </c>
      <c r="BI172" s="14">
        <f t="shared" si="162"/>
        <v>0</v>
      </c>
      <c r="BJ172" s="14">
        <f t="shared" si="163"/>
        <v>0</v>
      </c>
      <c r="BK172" s="14" t="str">
        <f t="shared" si="164"/>
        <v>LOW RISK</v>
      </c>
      <c r="BL172" s="14" t="str">
        <f t="shared" si="165"/>
        <v/>
      </c>
      <c r="BM172" s="13"/>
      <c r="BN172" s="12"/>
      <c r="BO172" s="13"/>
      <c r="BP172" s="13"/>
      <c r="BQ172" s="13"/>
      <c r="BR172" s="13"/>
      <c r="BS172" s="13"/>
      <c r="BT172" s="13"/>
      <c r="BU172" s="14" t="str">
        <f t="shared" si="166"/>
        <v/>
      </c>
      <c r="BV172" s="13"/>
      <c r="BW172" s="13"/>
      <c r="BX172" s="13"/>
      <c r="BY172" s="13"/>
      <c r="BZ172" s="13"/>
      <c r="CA172" s="13"/>
      <c r="CB172" s="13"/>
      <c r="CC172" s="14" t="str">
        <f t="shared" si="167"/>
        <v/>
      </c>
      <c r="CD172" s="13"/>
      <c r="CE172" s="13"/>
      <c r="CF172" s="12"/>
      <c r="CG172" s="13"/>
      <c r="CH172" s="13"/>
      <c r="CI172" s="13"/>
      <c r="CJ172" s="13"/>
      <c r="CK172" s="13"/>
      <c r="CL172" s="12"/>
      <c r="CM172" s="13"/>
      <c r="CN172" s="13"/>
      <c r="CO172" s="13"/>
      <c r="CP172" s="12"/>
    </row>
    <row r="173" spans="1:94" x14ac:dyDescent="0.2">
      <c r="A173" s="12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4" t="str">
        <f t="shared" si="140"/>
        <v>✓ Clear to Score</v>
      </c>
      <c r="U173" s="13"/>
      <c r="V173" s="13"/>
      <c r="W173" s="14" t="str">
        <f t="shared" si="141"/>
        <v/>
      </c>
      <c r="X173" s="13"/>
      <c r="Y173" s="14" t="str">
        <f t="shared" si="142"/>
        <v/>
      </c>
      <c r="Z173" s="13"/>
      <c r="AA173" s="14" t="str">
        <f t="shared" si="143"/>
        <v/>
      </c>
      <c r="AB173" s="13"/>
      <c r="AC173" s="14" t="str">
        <f t="shared" si="144"/>
        <v/>
      </c>
      <c r="AD173" s="13"/>
      <c r="AE173" s="14">
        <f t="shared" si="145"/>
        <v>0</v>
      </c>
      <c r="AF173" s="14">
        <f t="shared" si="146"/>
        <v>0</v>
      </c>
      <c r="AG173" s="13"/>
      <c r="AH173" s="14" t="str">
        <f t="shared" si="147"/>
        <v/>
      </c>
      <c r="AI173" s="13"/>
      <c r="AJ173" s="14" t="str">
        <f t="shared" si="148"/>
        <v/>
      </c>
      <c r="AK173" s="13"/>
      <c r="AL173" s="14" t="str">
        <f t="shared" si="149"/>
        <v/>
      </c>
      <c r="AM173" s="13"/>
      <c r="AN173" s="14" t="str">
        <f t="shared" si="150"/>
        <v/>
      </c>
      <c r="AO173" s="13"/>
      <c r="AP173" s="14" t="str">
        <f t="shared" si="151"/>
        <v/>
      </c>
      <c r="AQ173" s="13"/>
      <c r="AR173" s="14">
        <f t="shared" si="152"/>
        <v>0</v>
      </c>
      <c r="AS173" s="13"/>
      <c r="AT173" s="14">
        <f t="shared" si="153"/>
        <v>0</v>
      </c>
      <c r="AU173" s="14">
        <f t="shared" si="154"/>
        <v>0</v>
      </c>
      <c r="AV173" s="13"/>
      <c r="AW173" s="14" t="str">
        <f t="shared" si="155"/>
        <v/>
      </c>
      <c r="AX173" s="13"/>
      <c r="AY173" s="14" t="str">
        <f t="shared" si="156"/>
        <v/>
      </c>
      <c r="AZ173" s="13"/>
      <c r="BA173" s="14" t="str">
        <f t="shared" si="157"/>
        <v/>
      </c>
      <c r="BB173" s="13"/>
      <c r="BC173" s="14">
        <f t="shared" si="158"/>
        <v>0</v>
      </c>
      <c r="BD173" s="14">
        <f t="shared" si="159"/>
        <v>0</v>
      </c>
      <c r="BE173" s="13"/>
      <c r="BF173" s="14" t="str">
        <f t="shared" si="160"/>
        <v/>
      </c>
      <c r="BG173" s="13"/>
      <c r="BH173" s="14" t="str">
        <f t="shared" si="161"/>
        <v/>
      </c>
      <c r="BI173" s="14">
        <f t="shared" si="162"/>
        <v>0</v>
      </c>
      <c r="BJ173" s="14">
        <f t="shared" si="163"/>
        <v>0</v>
      </c>
      <c r="BK173" s="14" t="str">
        <f t="shared" si="164"/>
        <v>LOW RISK</v>
      </c>
      <c r="BL173" s="14" t="str">
        <f t="shared" si="165"/>
        <v/>
      </c>
      <c r="BM173" s="13"/>
      <c r="BN173" s="12"/>
      <c r="BO173" s="13"/>
      <c r="BP173" s="13"/>
      <c r="BQ173" s="13"/>
      <c r="BR173" s="13"/>
      <c r="BS173" s="13"/>
      <c r="BT173" s="13"/>
      <c r="BU173" s="14" t="str">
        <f t="shared" si="166"/>
        <v/>
      </c>
      <c r="BV173" s="13"/>
      <c r="BW173" s="13"/>
      <c r="BX173" s="13"/>
      <c r="BY173" s="13"/>
      <c r="BZ173" s="13"/>
      <c r="CA173" s="13"/>
      <c r="CB173" s="13"/>
      <c r="CC173" s="14" t="str">
        <f t="shared" si="167"/>
        <v/>
      </c>
      <c r="CD173" s="13"/>
      <c r="CE173" s="13"/>
      <c r="CF173" s="12"/>
      <c r="CG173" s="13"/>
      <c r="CH173" s="13"/>
      <c r="CI173" s="13"/>
      <c r="CJ173" s="13"/>
      <c r="CK173" s="13"/>
      <c r="CL173" s="12"/>
      <c r="CM173" s="13"/>
      <c r="CN173" s="13"/>
      <c r="CO173" s="13"/>
      <c r="CP173" s="12"/>
    </row>
    <row r="174" spans="1:94" x14ac:dyDescent="0.2">
      <c r="A174" s="12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4" t="str">
        <f t="shared" si="140"/>
        <v>✓ Clear to Score</v>
      </c>
      <c r="U174" s="13"/>
      <c r="V174" s="13"/>
      <c r="W174" s="14" t="str">
        <f t="shared" si="141"/>
        <v/>
      </c>
      <c r="X174" s="13"/>
      <c r="Y174" s="14" t="str">
        <f t="shared" si="142"/>
        <v/>
      </c>
      <c r="Z174" s="13"/>
      <c r="AA174" s="14" t="str">
        <f t="shared" si="143"/>
        <v/>
      </c>
      <c r="AB174" s="13"/>
      <c r="AC174" s="14" t="str">
        <f t="shared" si="144"/>
        <v/>
      </c>
      <c r="AD174" s="13"/>
      <c r="AE174" s="14">
        <f t="shared" si="145"/>
        <v>0</v>
      </c>
      <c r="AF174" s="14">
        <f t="shared" si="146"/>
        <v>0</v>
      </c>
      <c r="AG174" s="13"/>
      <c r="AH174" s="14" t="str">
        <f t="shared" si="147"/>
        <v/>
      </c>
      <c r="AI174" s="13"/>
      <c r="AJ174" s="14" t="str">
        <f t="shared" si="148"/>
        <v/>
      </c>
      <c r="AK174" s="13"/>
      <c r="AL174" s="14" t="str">
        <f t="shared" si="149"/>
        <v/>
      </c>
      <c r="AM174" s="13"/>
      <c r="AN174" s="14" t="str">
        <f t="shared" si="150"/>
        <v/>
      </c>
      <c r="AO174" s="13"/>
      <c r="AP174" s="14" t="str">
        <f t="shared" si="151"/>
        <v/>
      </c>
      <c r="AQ174" s="13"/>
      <c r="AR174" s="14">
        <f t="shared" si="152"/>
        <v>0</v>
      </c>
      <c r="AS174" s="13"/>
      <c r="AT174" s="14">
        <f t="shared" si="153"/>
        <v>0</v>
      </c>
      <c r="AU174" s="14">
        <f t="shared" si="154"/>
        <v>0</v>
      </c>
      <c r="AV174" s="13"/>
      <c r="AW174" s="14" t="str">
        <f t="shared" si="155"/>
        <v/>
      </c>
      <c r="AX174" s="13"/>
      <c r="AY174" s="14" t="str">
        <f t="shared" si="156"/>
        <v/>
      </c>
      <c r="AZ174" s="13"/>
      <c r="BA174" s="14" t="str">
        <f t="shared" si="157"/>
        <v/>
      </c>
      <c r="BB174" s="13"/>
      <c r="BC174" s="14">
        <f t="shared" si="158"/>
        <v>0</v>
      </c>
      <c r="BD174" s="14">
        <f t="shared" si="159"/>
        <v>0</v>
      </c>
      <c r="BE174" s="13"/>
      <c r="BF174" s="14" t="str">
        <f t="shared" si="160"/>
        <v/>
      </c>
      <c r="BG174" s="13"/>
      <c r="BH174" s="14" t="str">
        <f t="shared" si="161"/>
        <v/>
      </c>
      <c r="BI174" s="14">
        <f t="shared" si="162"/>
        <v>0</v>
      </c>
      <c r="BJ174" s="14">
        <f t="shared" si="163"/>
        <v>0</v>
      </c>
      <c r="BK174" s="14" t="str">
        <f t="shared" si="164"/>
        <v>LOW RISK</v>
      </c>
      <c r="BL174" s="14" t="str">
        <f t="shared" si="165"/>
        <v/>
      </c>
      <c r="BM174" s="13"/>
      <c r="BN174" s="12"/>
      <c r="BO174" s="13"/>
      <c r="BP174" s="13"/>
      <c r="BQ174" s="13"/>
      <c r="BR174" s="13"/>
      <c r="BS174" s="13"/>
      <c r="BT174" s="13"/>
      <c r="BU174" s="14" t="str">
        <f t="shared" si="166"/>
        <v/>
      </c>
      <c r="BV174" s="13"/>
      <c r="BW174" s="13"/>
      <c r="BX174" s="13"/>
      <c r="BY174" s="13"/>
      <c r="BZ174" s="13"/>
      <c r="CA174" s="13"/>
      <c r="CB174" s="13"/>
      <c r="CC174" s="14" t="str">
        <f t="shared" si="167"/>
        <v/>
      </c>
      <c r="CD174" s="13"/>
      <c r="CE174" s="13"/>
      <c r="CF174" s="12"/>
      <c r="CG174" s="13"/>
      <c r="CH174" s="13"/>
      <c r="CI174" s="13"/>
      <c r="CJ174" s="13"/>
      <c r="CK174" s="13"/>
      <c r="CL174" s="12"/>
      <c r="CM174" s="13"/>
      <c r="CN174" s="13"/>
      <c r="CO174" s="13"/>
      <c r="CP174" s="12"/>
    </row>
    <row r="175" spans="1:94" x14ac:dyDescent="0.2">
      <c r="A175" s="12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4" t="str">
        <f t="shared" si="140"/>
        <v>✓ Clear to Score</v>
      </c>
      <c r="U175" s="13"/>
      <c r="V175" s="13"/>
      <c r="W175" s="14" t="str">
        <f t="shared" si="141"/>
        <v/>
      </c>
      <c r="X175" s="13"/>
      <c r="Y175" s="14" t="str">
        <f t="shared" si="142"/>
        <v/>
      </c>
      <c r="Z175" s="13"/>
      <c r="AA175" s="14" t="str">
        <f t="shared" si="143"/>
        <v/>
      </c>
      <c r="AB175" s="13"/>
      <c r="AC175" s="14" t="str">
        <f t="shared" si="144"/>
        <v/>
      </c>
      <c r="AD175" s="13"/>
      <c r="AE175" s="14">
        <f t="shared" si="145"/>
        <v>0</v>
      </c>
      <c r="AF175" s="14">
        <f t="shared" si="146"/>
        <v>0</v>
      </c>
      <c r="AG175" s="13"/>
      <c r="AH175" s="14" t="str">
        <f t="shared" si="147"/>
        <v/>
      </c>
      <c r="AI175" s="13"/>
      <c r="AJ175" s="14" t="str">
        <f t="shared" si="148"/>
        <v/>
      </c>
      <c r="AK175" s="13"/>
      <c r="AL175" s="14" t="str">
        <f t="shared" si="149"/>
        <v/>
      </c>
      <c r="AM175" s="13"/>
      <c r="AN175" s="14" t="str">
        <f t="shared" si="150"/>
        <v/>
      </c>
      <c r="AO175" s="13"/>
      <c r="AP175" s="14" t="str">
        <f t="shared" si="151"/>
        <v/>
      </c>
      <c r="AQ175" s="13"/>
      <c r="AR175" s="14">
        <f t="shared" si="152"/>
        <v>0</v>
      </c>
      <c r="AS175" s="13"/>
      <c r="AT175" s="14">
        <f t="shared" si="153"/>
        <v>0</v>
      </c>
      <c r="AU175" s="14">
        <f t="shared" si="154"/>
        <v>0</v>
      </c>
      <c r="AV175" s="13"/>
      <c r="AW175" s="14" t="str">
        <f t="shared" si="155"/>
        <v/>
      </c>
      <c r="AX175" s="13"/>
      <c r="AY175" s="14" t="str">
        <f t="shared" si="156"/>
        <v/>
      </c>
      <c r="AZ175" s="13"/>
      <c r="BA175" s="14" t="str">
        <f t="shared" si="157"/>
        <v/>
      </c>
      <c r="BB175" s="13"/>
      <c r="BC175" s="14">
        <f t="shared" si="158"/>
        <v>0</v>
      </c>
      <c r="BD175" s="14">
        <f t="shared" si="159"/>
        <v>0</v>
      </c>
      <c r="BE175" s="13"/>
      <c r="BF175" s="14" t="str">
        <f t="shared" si="160"/>
        <v/>
      </c>
      <c r="BG175" s="13"/>
      <c r="BH175" s="14" t="str">
        <f t="shared" si="161"/>
        <v/>
      </c>
      <c r="BI175" s="14">
        <f t="shared" si="162"/>
        <v>0</v>
      </c>
      <c r="BJ175" s="14">
        <f t="shared" si="163"/>
        <v>0</v>
      </c>
      <c r="BK175" s="14" t="str">
        <f t="shared" si="164"/>
        <v>LOW RISK</v>
      </c>
      <c r="BL175" s="14" t="str">
        <f t="shared" si="165"/>
        <v/>
      </c>
      <c r="BM175" s="13"/>
      <c r="BN175" s="12"/>
      <c r="BO175" s="13"/>
      <c r="BP175" s="13"/>
      <c r="BQ175" s="13"/>
      <c r="BR175" s="13"/>
      <c r="BS175" s="13"/>
      <c r="BT175" s="13"/>
      <c r="BU175" s="14" t="str">
        <f t="shared" si="166"/>
        <v/>
      </c>
      <c r="BV175" s="13"/>
      <c r="BW175" s="13"/>
      <c r="BX175" s="13"/>
      <c r="BY175" s="13"/>
      <c r="BZ175" s="13"/>
      <c r="CA175" s="13"/>
      <c r="CB175" s="13"/>
      <c r="CC175" s="14" t="str">
        <f t="shared" si="167"/>
        <v/>
      </c>
      <c r="CD175" s="13"/>
      <c r="CE175" s="13"/>
      <c r="CF175" s="12"/>
      <c r="CG175" s="13"/>
      <c r="CH175" s="13"/>
      <c r="CI175" s="13"/>
      <c r="CJ175" s="13"/>
      <c r="CK175" s="13"/>
      <c r="CL175" s="12"/>
      <c r="CM175" s="13"/>
      <c r="CN175" s="13"/>
      <c r="CO175" s="13"/>
      <c r="CP175" s="12"/>
    </row>
    <row r="176" spans="1:94" x14ac:dyDescent="0.2">
      <c r="A176" s="12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4" t="str">
        <f t="shared" si="140"/>
        <v>✓ Clear to Score</v>
      </c>
      <c r="U176" s="13"/>
      <c r="V176" s="13"/>
      <c r="W176" s="14" t="str">
        <f t="shared" si="141"/>
        <v/>
      </c>
      <c r="X176" s="13"/>
      <c r="Y176" s="14" t="str">
        <f t="shared" si="142"/>
        <v/>
      </c>
      <c r="Z176" s="13"/>
      <c r="AA176" s="14" t="str">
        <f t="shared" si="143"/>
        <v/>
      </c>
      <c r="AB176" s="13"/>
      <c r="AC176" s="14" t="str">
        <f t="shared" si="144"/>
        <v/>
      </c>
      <c r="AD176" s="13"/>
      <c r="AE176" s="14">
        <f t="shared" si="145"/>
        <v>0</v>
      </c>
      <c r="AF176" s="14">
        <f t="shared" si="146"/>
        <v>0</v>
      </c>
      <c r="AG176" s="13"/>
      <c r="AH176" s="14" t="str">
        <f t="shared" si="147"/>
        <v/>
      </c>
      <c r="AI176" s="13"/>
      <c r="AJ176" s="14" t="str">
        <f t="shared" si="148"/>
        <v/>
      </c>
      <c r="AK176" s="13"/>
      <c r="AL176" s="14" t="str">
        <f t="shared" si="149"/>
        <v/>
      </c>
      <c r="AM176" s="13"/>
      <c r="AN176" s="14" t="str">
        <f t="shared" si="150"/>
        <v/>
      </c>
      <c r="AO176" s="13"/>
      <c r="AP176" s="14" t="str">
        <f t="shared" si="151"/>
        <v/>
      </c>
      <c r="AQ176" s="13"/>
      <c r="AR176" s="14">
        <f t="shared" si="152"/>
        <v>0</v>
      </c>
      <c r="AS176" s="13"/>
      <c r="AT176" s="14">
        <f t="shared" si="153"/>
        <v>0</v>
      </c>
      <c r="AU176" s="14">
        <f t="shared" si="154"/>
        <v>0</v>
      </c>
      <c r="AV176" s="13"/>
      <c r="AW176" s="14" t="str">
        <f t="shared" si="155"/>
        <v/>
      </c>
      <c r="AX176" s="13"/>
      <c r="AY176" s="14" t="str">
        <f t="shared" si="156"/>
        <v/>
      </c>
      <c r="AZ176" s="13"/>
      <c r="BA176" s="14" t="str">
        <f t="shared" si="157"/>
        <v/>
      </c>
      <c r="BB176" s="13"/>
      <c r="BC176" s="14">
        <f t="shared" si="158"/>
        <v>0</v>
      </c>
      <c r="BD176" s="14">
        <f t="shared" si="159"/>
        <v>0</v>
      </c>
      <c r="BE176" s="13"/>
      <c r="BF176" s="14" t="str">
        <f t="shared" si="160"/>
        <v/>
      </c>
      <c r="BG176" s="13"/>
      <c r="BH176" s="14" t="str">
        <f t="shared" si="161"/>
        <v/>
      </c>
      <c r="BI176" s="14">
        <f t="shared" si="162"/>
        <v>0</v>
      </c>
      <c r="BJ176" s="14">
        <f t="shared" si="163"/>
        <v>0</v>
      </c>
      <c r="BK176" s="14" t="str">
        <f t="shared" si="164"/>
        <v>LOW RISK</v>
      </c>
      <c r="BL176" s="14" t="str">
        <f t="shared" si="165"/>
        <v/>
      </c>
      <c r="BM176" s="13"/>
      <c r="BN176" s="12"/>
      <c r="BO176" s="13"/>
      <c r="BP176" s="13"/>
      <c r="BQ176" s="13"/>
      <c r="BR176" s="13"/>
      <c r="BS176" s="13"/>
      <c r="BT176" s="13"/>
      <c r="BU176" s="14" t="str">
        <f t="shared" si="166"/>
        <v/>
      </c>
      <c r="BV176" s="13"/>
      <c r="BW176" s="13"/>
      <c r="BX176" s="13"/>
      <c r="BY176" s="13"/>
      <c r="BZ176" s="13"/>
      <c r="CA176" s="13"/>
      <c r="CB176" s="13"/>
      <c r="CC176" s="14" t="str">
        <f t="shared" si="167"/>
        <v/>
      </c>
      <c r="CD176" s="13"/>
      <c r="CE176" s="13"/>
      <c r="CF176" s="12"/>
      <c r="CG176" s="13"/>
      <c r="CH176" s="13"/>
      <c r="CI176" s="13"/>
      <c r="CJ176" s="13"/>
      <c r="CK176" s="13"/>
      <c r="CL176" s="12"/>
      <c r="CM176" s="13"/>
      <c r="CN176" s="13"/>
      <c r="CO176" s="13"/>
      <c r="CP176" s="12"/>
    </row>
    <row r="177" spans="1:94" x14ac:dyDescent="0.2">
      <c r="A177" s="12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4" t="str">
        <f t="shared" si="140"/>
        <v>✓ Clear to Score</v>
      </c>
      <c r="U177" s="13"/>
      <c r="V177" s="13"/>
      <c r="W177" s="14" t="str">
        <f t="shared" si="141"/>
        <v/>
      </c>
      <c r="X177" s="13"/>
      <c r="Y177" s="14" t="str">
        <f t="shared" si="142"/>
        <v/>
      </c>
      <c r="Z177" s="13"/>
      <c r="AA177" s="14" t="str">
        <f t="shared" si="143"/>
        <v/>
      </c>
      <c r="AB177" s="13"/>
      <c r="AC177" s="14" t="str">
        <f t="shared" si="144"/>
        <v/>
      </c>
      <c r="AD177" s="13"/>
      <c r="AE177" s="14">
        <f t="shared" si="145"/>
        <v>0</v>
      </c>
      <c r="AF177" s="14">
        <f t="shared" si="146"/>
        <v>0</v>
      </c>
      <c r="AG177" s="13"/>
      <c r="AH177" s="14" t="str">
        <f t="shared" si="147"/>
        <v/>
      </c>
      <c r="AI177" s="13"/>
      <c r="AJ177" s="14" t="str">
        <f t="shared" si="148"/>
        <v/>
      </c>
      <c r="AK177" s="13"/>
      <c r="AL177" s="14" t="str">
        <f t="shared" si="149"/>
        <v/>
      </c>
      <c r="AM177" s="13"/>
      <c r="AN177" s="14" t="str">
        <f t="shared" si="150"/>
        <v/>
      </c>
      <c r="AO177" s="13"/>
      <c r="AP177" s="14" t="str">
        <f t="shared" si="151"/>
        <v/>
      </c>
      <c r="AQ177" s="13"/>
      <c r="AR177" s="14">
        <f t="shared" si="152"/>
        <v>0</v>
      </c>
      <c r="AS177" s="13"/>
      <c r="AT177" s="14">
        <f t="shared" si="153"/>
        <v>0</v>
      </c>
      <c r="AU177" s="14">
        <f t="shared" si="154"/>
        <v>0</v>
      </c>
      <c r="AV177" s="13"/>
      <c r="AW177" s="14" t="str">
        <f t="shared" si="155"/>
        <v/>
      </c>
      <c r="AX177" s="13"/>
      <c r="AY177" s="14" t="str">
        <f t="shared" si="156"/>
        <v/>
      </c>
      <c r="AZ177" s="13"/>
      <c r="BA177" s="14" t="str">
        <f t="shared" si="157"/>
        <v/>
      </c>
      <c r="BB177" s="13"/>
      <c r="BC177" s="14">
        <f t="shared" si="158"/>
        <v>0</v>
      </c>
      <c r="BD177" s="14">
        <f t="shared" si="159"/>
        <v>0</v>
      </c>
      <c r="BE177" s="13"/>
      <c r="BF177" s="14" t="str">
        <f t="shared" si="160"/>
        <v/>
      </c>
      <c r="BG177" s="13"/>
      <c r="BH177" s="14" t="str">
        <f t="shared" si="161"/>
        <v/>
      </c>
      <c r="BI177" s="14">
        <f t="shared" si="162"/>
        <v>0</v>
      </c>
      <c r="BJ177" s="14">
        <f t="shared" si="163"/>
        <v>0</v>
      </c>
      <c r="BK177" s="14" t="str">
        <f t="shared" si="164"/>
        <v>LOW RISK</v>
      </c>
      <c r="BL177" s="14" t="str">
        <f t="shared" si="165"/>
        <v/>
      </c>
      <c r="BM177" s="13"/>
      <c r="BN177" s="12"/>
      <c r="BO177" s="13"/>
      <c r="BP177" s="13"/>
      <c r="BQ177" s="13"/>
      <c r="BR177" s="13"/>
      <c r="BS177" s="13"/>
      <c r="BT177" s="13"/>
      <c r="BU177" s="14" t="str">
        <f t="shared" si="166"/>
        <v/>
      </c>
      <c r="BV177" s="13"/>
      <c r="BW177" s="13"/>
      <c r="BX177" s="13"/>
      <c r="BY177" s="13"/>
      <c r="BZ177" s="13"/>
      <c r="CA177" s="13"/>
      <c r="CB177" s="13"/>
      <c r="CC177" s="14" t="str">
        <f t="shared" si="167"/>
        <v/>
      </c>
      <c r="CD177" s="13"/>
      <c r="CE177" s="13"/>
      <c r="CF177" s="12"/>
      <c r="CG177" s="13"/>
      <c r="CH177" s="13"/>
      <c r="CI177" s="13"/>
      <c r="CJ177" s="13"/>
      <c r="CK177" s="13"/>
      <c r="CL177" s="12"/>
      <c r="CM177" s="13"/>
      <c r="CN177" s="13"/>
      <c r="CO177" s="13"/>
      <c r="CP177" s="12"/>
    </row>
    <row r="178" spans="1:94" x14ac:dyDescent="0.2">
      <c r="A178" s="12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4" t="str">
        <f t="shared" si="140"/>
        <v>✓ Clear to Score</v>
      </c>
      <c r="U178" s="13"/>
      <c r="V178" s="13"/>
      <c r="W178" s="14" t="str">
        <f t="shared" si="141"/>
        <v/>
      </c>
      <c r="X178" s="13"/>
      <c r="Y178" s="14" t="str">
        <f t="shared" si="142"/>
        <v/>
      </c>
      <c r="Z178" s="13"/>
      <c r="AA178" s="14" t="str">
        <f t="shared" si="143"/>
        <v/>
      </c>
      <c r="AB178" s="13"/>
      <c r="AC178" s="14" t="str">
        <f t="shared" si="144"/>
        <v/>
      </c>
      <c r="AD178" s="13"/>
      <c r="AE178" s="14">
        <f t="shared" si="145"/>
        <v>0</v>
      </c>
      <c r="AF178" s="14">
        <f t="shared" si="146"/>
        <v>0</v>
      </c>
      <c r="AG178" s="13"/>
      <c r="AH178" s="14" t="str">
        <f t="shared" si="147"/>
        <v/>
      </c>
      <c r="AI178" s="13"/>
      <c r="AJ178" s="14" t="str">
        <f t="shared" si="148"/>
        <v/>
      </c>
      <c r="AK178" s="13"/>
      <c r="AL178" s="14" t="str">
        <f t="shared" si="149"/>
        <v/>
      </c>
      <c r="AM178" s="13"/>
      <c r="AN178" s="14" t="str">
        <f t="shared" si="150"/>
        <v/>
      </c>
      <c r="AO178" s="13"/>
      <c r="AP178" s="14" t="str">
        <f t="shared" si="151"/>
        <v/>
      </c>
      <c r="AQ178" s="13"/>
      <c r="AR178" s="14">
        <f t="shared" si="152"/>
        <v>0</v>
      </c>
      <c r="AS178" s="13"/>
      <c r="AT178" s="14">
        <f t="shared" si="153"/>
        <v>0</v>
      </c>
      <c r="AU178" s="14">
        <f t="shared" si="154"/>
        <v>0</v>
      </c>
      <c r="AV178" s="13"/>
      <c r="AW178" s="14" t="str">
        <f t="shared" si="155"/>
        <v/>
      </c>
      <c r="AX178" s="13"/>
      <c r="AY178" s="14" t="str">
        <f t="shared" si="156"/>
        <v/>
      </c>
      <c r="AZ178" s="13"/>
      <c r="BA178" s="14" t="str">
        <f t="shared" si="157"/>
        <v/>
      </c>
      <c r="BB178" s="13"/>
      <c r="BC178" s="14">
        <f t="shared" si="158"/>
        <v>0</v>
      </c>
      <c r="BD178" s="14">
        <f t="shared" si="159"/>
        <v>0</v>
      </c>
      <c r="BE178" s="13"/>
      <c r="BF178" s="14" t="str">
        <f t="shared" si="160"/>
        <v/>
      </c>
      <c r="BG178" s="13"/>
      <c r="BH178" s="14" t="str">
        <f t="shared" si="161"/>
        <v/>
      </c>
      <c r="BI178" s="14">
        <f t="shared" si="162"/>
        <v>0</v>
      </c>
      <c r="BJ178" s="14">
        <f t="shared" si="163"/>
        <v>0</v>
      </c>
      <c r="BK178" s="14" t="str">
        <f t="shared" si="164"/>
        <v>LOW RISK</v>
      </c>
      <c r="BL178" s="14" t="str">
        <f t="shared" si="165"/>
        <v/>
      </c>
      <c r="BM178" s="13"/>
      <c r="BN178" s="12"/>
      <c r="BO178" s="13"/>
      <c r="BP178" s="13"/>
      <c r="BQ178" s="13"/>
      <c r="BR178" s="13"/>
      <c r="BS178" s="13"/>
      <c r="BT178" s="13"/>
      <c r="BU178" s="14" t="str">
        <f t="shared" si="166"/>
        <v/>
      </c>
      <c r="BV178" s="13"/>
      <c r="BW178" s="13"/>
      <c r="BX178" s="13"/>
      <c r="BY178" s="13"/>
      <c r="BZ178" s="13"/>
      <c r="CA178" s="13"/>
      <c r="CB178" s="13"/>
      <c r="CC178" s="14" t="str">
        <f t="shared" si="167"/>
        <v/>
      </c>
      <c r="CD178" s="13"/>
      <c r="CE178" s="13"/>
      <c r="CF178" s="12"/>
      <c r="CG178" s="13"/>
      <c r="CH178" s="13"/>
      <c r="CI178" s="13"/>
      <c r="CJ178" s="13"/>
      <c r="CK178" s="13"/>
      <c r="CL178" s="12"/>
      <c r="CM178" s="13"/>
      <c r="CN178" s="13"/>
      <c r="CO178" s="13"/>
      <c r="CP178" s="12"/>
    </row>
    <row r="179" spans="1:94" x14ac:dyDescent="0.2">
      <c r="A179" s="12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4" t="str">
        <f t="shared" si="140"/>
        <v>✓ Clear to Score</v>
      </c>
      <c r="U179" s="13"/>
      <c r="V179" s="13"/>
      <c r="W179" s="14" t="str">
        <f t="shared" si="141"/>
        <v/>
      </c>
      <c r="X179" s="13"/>
      <c r="Y179" s="14" t="str">
        <f t="shared" si="142"/>
        <v/>
      </c>
      <c r="Z179" s="13"/>
      <c r="AA179" s="14" t="str">
        <f t="shared" si="143"/>
        <v/>
      </c>
      <c r="AB179" s="13"/>
      <c r="AC179" s="14" t="str">
        <f t="shared" si="144"/>
        <v/>
      </c>
      <c r="AD179" s="13"/>
      <c r="AE179" s="14">
        <f t="shared" si="145"/>
        <v>0</v>
      </c>
      <c r="AF179" s="14">
        <f t="shared" si="146"/>
        <v>0</v>
      </c>
      <c r="AG179" s="13"/>
      <c r="AH179" s="14" t="str">
        <f t="shared" si="147"/>
        <v/>
      </c>
      <c r="AI179" s="13"/>
      <c r="AJ179" s="14" t="str">
        <f t="shared" si="148"/>
        <v/>
      </c>
      <c r="AK179" s="13"/>
      <c r="AL179" s="14" t="str">
        <f t="shared" si="149"/>
        <v/>
      </c>
      <c r="AM179" s="13"/>
      <c r="AN179" s="14" t="str">
        <f t="shared" si="150"/>
        <v/>
      </c>
      <c r="AO179" s="13"/>
      <c r="AP179" s="14" t="str">
        <f t="shared" si="151"/>
        <v/>
      </c>
      <c r="AQ179" s="13"/>
      <c r="AR179" s="14">
        <f t="shared" si="152"/>
        <v>0</v>
      </c>
      <c r="AS179" s="13"/>
      <c r="AT179" s="14">
        <f t="shared" si="153"/>
        <v>0</v>
      </c>
      <c r="AU179" s="14">
        <f t="shared" si="154"/>
        <v>0</v>
      </c>
      <c r="AV179" s="13"/>
      <c r="AW179" s="14" t="str">
        <f t="shared" si="155"/>
        <v/>
      </c>
      <c r="AX179" s="13"/>
      <c r="AY179" s="14" t="str">
        <f t="shared" si="156"/>
        <v/>
      </c>
      <c r="AZ179" s="13"/>
      <c r="BA179" s="14" t="str">
        <f t="shared" si="157"/>
        <v/>
      </c>
      <c r="BB179" s="13"/>
      <c r="BC179" s="14">
        <f t="shared" si="158"/>
        <v>0</v>
      </c>
      <c r="BD179" s="14">
        <f t="shared" si="159"/>
        <v>0</v>
      </c>
      <c r="BE179" s="13"/>
      <c r="BF179" s="14" t="str">
        <f t="shared" si="160"/>
        <v/>
      </c>
      <c r="BG179" s="13"/>
      <c r="BH179" s="14" t="str">
        <f t="shared" si="161"/>
        <v/>
      </c>
      <c r="BI179" s="14">
        <f t="shared" si="162"/>
        <v>0</v>
      </c>
      <c r="BJ179" s="14">
        <f t="shared" si="163"/>
        <v>0</v>
      </c>
      <c r="BK179" s="14" t="str">
        <f t="shared" si="164"/>
        <v>LOW RISK</v>
      </c>
      <c r="BL179" s="14" t="str">
        <f t="shared" si="165"/>
        <v/>
      </c>
      <c r="BM179" s="13"/>
      <c r="BN179" s="12"/>
      <c r="BO179" s="13"/>
      <c r="BP179" s="13"/>
      <c r="BQ179" s="13"/>
      <c r="BR179" s="13"/>
      <c r="BS179" s="13"/>
      <c r="BT179" s="13"/>
      <c r="BU179" s="14" t="str">
        <f t="shared" si="166"/>
        <v/>
      </c>
      <c r="BV179" s="13"/>
      <c r="BW179" s="13"/>
      <c r="BX179" s="13"/>
      <c r="BY179" s="13"/>
      <c r="BZ179" s="13"/>
      <c r="CA179" s="13"/>
      <c r="CB179" s="13"/>
      <c r="CC179" s="14" t="str">
        <f t="shared" si="167"/>
        <v/>
      </c>
      <c r="CD179" s="13"/>
      <c r="CE179" s="13"/>
      <c r="CF179" s="12"/>
      <c r="CG179" s="13"/>
      <c r="CH179" s="13"/>
      <c r="CI179" s="13"/>
      <c r="CJ179" s="13"/>
      <c r="CK179" s="13"/>
      <c r="CL179" s="12"/>
      <c r="CM179" s="13"/>
      <c r="CN179" s="13"/>
      <c r="CO179" s="13"/>
      <c r="CP179" s="12"/>
    </row>
    <row r="180" spans="1:94" x14ac:dyDescent="0.2">
      <c r="A180" s="12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4" t="str">
        <f t="shared" si="140"/>
        <v>✓ Clear to Score</v>
      </c>
      <c r="U180" s="13"/>
      <c r="V180" s="13"/>
      <c r="W180" s="14" t="str">
        <f t="shared" si="141"/>
        <v/>
      </c>
      <c r="X180" s="13"/>
      <c r="Y180" s="14" t="str">
        <f t="shared" si="142"/>
        <v/>
      </c>
      <c r="Z180" s="13"/>
      <c r="AA180" s="14" t="str">
        <f t="shared" si="143"/>
        <v/>
      </c>
      <c r="AB180" s="13"/>
      <c r="AC180" s="14" t="str">
        <f t="shared" si="144"/>
        <v/>
      </c>
      <c r="AD180" s="13"/>
      <c r="AE180" s="14">
        <f t="shared" si="145"/>
        <v>0</v>
      </c>
      <c r="AF180" s="14">
        <f t="shared" si="146"/>
        <v>0</v>
      </c>
      <c r="AG180" s="13"/>
      <c r="AH180" s="14" t="str">
        <f t="shared" si="147"/>
        <v/>
      </c>
      <c r="AI180" s="13"/>
      <c r="AJ180" s="14" t="str">
        <f t="shared" si="148"/>
        <v/>
      </c>
      <c r="AK180" s="13"/>
      <c r="AL180" s="14" t="str">
        <f t="shared" si="149"/>
        <v/>
      </c>
      <c r="AM180" s="13"/>
      <c r="AN180" s="14" t="str">
        <f t="shared" si="150"/>
        <v/>
      </c>
      <c r="AO180" s="13"/>
      <c r="AP180" s="14" t="str">
        <f t="shared" si="151"/>
        <v/>
      </c>
      <c r="AQ180" s="13"/>
      <c r="AR180" s="14">
        <f t="shared" si="152"/>
        <v>0</v>
      </c>
      <c r="AS180" s="13"/>
      <c r="AT180" s="14">
        <f t="shared" si="153"/>
        <v>0</v>
      </c>
      <c r="AU180" s="14">
        <f t="shared" si="154"/>
        <v>0</v>
      </c>
      <c r="AV180" s="13"/>
      <c r="AW180" s="14" t="str">
        <f t="shared" si="155"/>
        <v/>
      </c>
      <c r="AX180" s="13"/>
      <c r="AY180" s="14" t="str">
        <f t="shared" si="156"/>
        <v/>
      </c>
      <c r="AZ180" s="13"/>
      <c r="BA180" s="14" t="str">
        <f t="shared" si="157"/>
        <v/>
      </c>
      <c r="BB180" s="13"/>
      <c r="BC180" s="14">
        <f t="shared" si="158"/>
        <v>0</v>
      </c>
      <c r="BD180" s="14">
        <f t="shared" si="159"/>
        <v>0</v>
      </c>
      <c r="BE180" s="13"/>
      <c r="BF180" s="14" t="str">
        <f t="shared" si="160"/>
        <v/>
      </c>
      <c r="BG180" s="13"/>
      <c r="BH180" s="14" t="str">
        <f t="shared" si="161"/>
        <v/>
      </c>
      <c r="BI180" s="14">
        <f t="shared" si="162"/>
        <v>0</v>
      </c>
      <c r="BJ180" s="14">
        <f t="shared" si="163"/>
        <v>0</v>
      </c>
      <c r="BK180" s="14" t="str">
        <f t="shared" si="164"/>
        <v>LOW RISK</v>
      </c>
      <c r="BL180" s="14" t="str">
        <f t="shared" si="165"/>
        <v/>
      </c>
      <c r="BM180" s="13"/>
      <c r="BN180" s="12"/>
      <c r="BO180" s="13"/>
      <c r="BP180" s="13"/>
      <c r="BQ180" s="13"/>
      <c r="BR180" s="13"/>
      <c r="BS180" s="13"/>
      <c r="BT180" s="13"/>
      <c r="BU180" s="14" t="str">
        <f t="shared" si="166"/>
        <v/>
      </c>
      <c r="BV180" s="13"/>
      <c r="BW180" s="13"/>
      <c r="BX180" s="13"/>
      <c r="BY180" s="13"/>
      <c r="BZ180" s="13"/>
      <c r="CA180" s="13"/>
      <c r="CB180" s="13"/>
      <c r="CC180" s="14" t="str">
        <f t="shared" si="167"/>
        <v/>
      </c>
      <c r="CD180" s="13"/>
      <c r="CE180" s="13"/>
      <c r="CF180" s="12"/>
      <c r="CG180" s="13"/>
      <c r="CH180" s="13"/>
      <c r="CI180" s="13"/>
      <c r="CJ180" s="13"/>
      <c r="CK180" s="13"/>
      <c r="CL180" s="12"/>
      <c r="CM180" s="13"/>
      <c r="CN180" s="13"/>
      <c r="CO180" s="13"/>
      <c r="CP180" s="12"/>
    </row>
    <row r="181" spans="1:94" x14ac:dyDescent="0.2">
      <c r="A181" s="12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4" t="str">
        <f t="shared" si="140"/>
        <v>✓ Clear to Score</v>
      </c>
      <c r="U181" s="13"/>
      <c r="V181" s="13"/>
      <c r="W181" s="14" t="str">
        <f t="shared" si="141"/>
        <v/>
      </c>
      <c r="X181" s="13"/>
      <c r="Y181" s="14" t="str">
        <f t="shared" si="142"/>
        <v/>
      </c>
      <c r="Z181" s="13"/>
      <c r="AA181" s="14" t="str">
        <f t="shared" si="143"/>
        <v/>
      </c>
      <c r="AB181" s="13"/>
      <c r="AC181" s="14" t="str">
        <f t="shared" si="144"/>
        <v/>
      </c>
      <c r="AD181" s="13"/>
      <c r="AE181" s="14">
        <f t="shared" si="145"/>
        <v>0</v>
      </c>
      <c r="AF181" s="14">
        <f t="shared" si="146"/>
        <v>0</v>
      </c>
      <c r="AG181" s="13"/>
      <c r="AH181" s="14" t="str">
        <f t="shared" si="147"/>
        <v/>
      </c>
      <c r="AI181" s="13"/>
      <c r="AJ181" s="14" t="str">
        <f t="shared" si="148"/>
        <v/>
      </c>
      <c r="AK181" s="13"/>
      <c r="AL181" s="14" t="str">
        <f t="shared" si="149"/>
        <v/>
      </c>
      <c r="AM181" s="13"/>
      <c r="AN181" s="14" t="str">
        <f t="shared" si="150"/>
        <v/>
      </c>
      <c r="AO181" s="13"/>
      <c r="AP181" s="14" t="str">
        <f t="shared" si="151"/>
        <v/>
      </c>
      <c r="AQ181" s="13"/>
      <c r="AR181" s="14">
        <f t="shared" si="152"/>
        <v>0</v>
      </c>
      <c r="AS181" s="13"/>
      <c r="AT181" s="14">
        <f t="shared" si="153"/>
        <v>0</v>
      </c>
      <c r="AU181" s="14">
        <f t="shared" si="154"/>
        <v>0</v>
      </c>
      <c r="AV181" s="13"/>
      <c r="AW181" s="14" t="str">
        <f t="shared" si="155"/>
        <v/>
      </c>
      <c r="AX181" s="13"/>
      <c r="AY181" s="14" t="str">
        <f t="shared" si="156"/>
        <v/>
      </c>
      <c r="AZ181" s="13"/>
      <c r="BA181" s="14" t="str">
        <f t="shared" si="157"/>
        <v/>
      </c>
      <c r="BB181" s="13"/>
      <c r="BC181" s="14">
        <f t="shared" si="158"/>
        <v>0</v>
      </c>
      <c r="BD181" s="14">
        <f t="shared" si="159"/>
        <v>0</v>
      </c>
      <c r="BE181" s="13"/>
      <c r="BF181" s="14" t="str">
        <f t="shared" si="160"/>
        <v/>
      </c>
      <c r="BG181" s="13"/>
      <c r="BH181" s="14" t="str">
        <f t="shared" si="161"/>
        <v/>
      </c>
      <c r="BI181" s="14">
        <f t="shared" si="162"/>
        <v>0</v>
      </c>
      <c r="BJ181" s="14">
        <f t="shared" si="163"/>
        <v>0</v>
      </c>
      <c r="BK181" s="14" t="str">
        <f t="shared" si="164"/>
        <v>LOW RISK</v>
      </c>
      <c r="BL181" s="14" t="str">
        <f t="shared" si="165"/>
        <v/>
      </c>
      <c r="BM181" s="13"/>
      <c r="BN181" s="12"/>
      <c r="BO181" s="13"/>
      <c r="BP181" s="13"/>
      <c r="BQ181" s="13"/>
      <c r="BR181" s="13"/>
      <c r="BS181" s="13"/>
      <c r="BT181" s="13"/>
      <c r="BU181" s="14" t="str">
        <f t="shared" si="166"/>
        <v/>
      </c>
      <c r="BV181" s="13"/>
      <c r="BW181" s="13"/>
      <c r="BX181" s="13"/>
      <c r="BY181" s="13"/>
      <c r="BZ181" s="13"/>
      <c r="CA181" s="13"/>
      <c r="CB181" s="13"/>
      <c r="CC181" s="14" t="str">
        <f t="shared" si="167"/>
        <v/>
      </c>
      <c r="CD181" s="13"/>
      <c r="CE181" s="13"/>
      <c r="CF181" s="12"/>
      <c r="CG181" s="13"/>
      <c r="CH181" s="13"/>
      <c r="CI181" s="13"/>
      <c r="CJ181" s="13"/>
      <c r="CK181" s="13"/>
      <c r="CL181" s="12"/>
      <c r="CM181" s="13"/>
      <c r="CN181" s="13"/>
      <c r="CO181" s="13"/>
      <c r="CP181" s="12"/>
    </row>
    <row r="182" spans="1:94" x14ac:dyDescent="0.2">
      <c r="A182" s="12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4" t="str">
        <f t="shared" si="140"/>
        <v>✓ Clear to Score</v>
      </c>
      <c r="U182" s="13"/>
      <c r="V182" s="13"/>
      <c r="W182" s="14" t="str">
        <f t="shared" si="141"/>
        <v/>
      </c>
      <c r="X182" s="13"/>
      <c r="Y182" s="14" t="str">
        <f t="shared" si="142"/>
        <v/>
      </c>
      <c r="Z182" s="13"/>
      <c r="AA182" s="14" t="str">
        <f t="shared" si="143"/>
        <v/>
      </c>
      <c r="AB182" s="13"/>
      <c r="AC182" s="14" t="str">
        <f t="shared" si="144"/>
        <v/>
      </c>
      <c r="AD182" s="13"/>
      <c r="AE182" s="14">
        <f t="shared" si="145"/>
        <v>0</v>
      </c>
      <c r="AF182" s="14">
        <f t="shared" si="146"/>
        <v>0</v>
      </c>
      <c r="AG182" s="13"/>
      <c r="AH182" s="14" t="str">
        <f t="shared" si="147"/>
        <v/>
      </c>
      <c r="AI182" s="13"/>
      <c r="AJ182" s="14" t="str">
        <f t="shared" si="148"/>
        <v/>
      </c>
      <c r="AK182" s="13"/>
      <c r="AL182" s="14" t="str">
        <f t="shared" si="149"/>
        <v/>
      </c>
      <c r="AM182" s="13"/>
      <c r="AN182" s="14" t="str">
        <f t="shared" si="150"/>
        <v/>
      </c>
      <c r="AO182" s="13"/>
      <c r="AP182" s="14" t="str">
        <f t="shared" si="151"/>
        <v/>
      </c>
      <c r="AQ182" s="13"/>
      <c r="AR182" s="14">
        <f t="shared" si="152"/>
        <v>0</v>
      </c>
      <c r="AS182" s="13"/>
      <c r="AT182" s="14">
        <f t="shared" si="153"/>
        <v>0</v>
      </c>
      <c r="AU182" s="14">
        <f t="shared" si="154"/>
        <v>0</v>
      </c>
      <c r="AV182" s="13"/>
      <c r="AW182" s="14" t="str">
        <f t="shared" si="155"/>
        <v/>
      </c>
      <c r="AX182" s="13"/>
      <c r="AY182" s="14" t="str">
        <f t="shared" si="156"/>
        <v/>
      </c>
      <c r="AZ182" s="13"/>
      <c r="BA182" s="14" t="str">
        <f t="shared" si="157"/>
        <v/>
      </c>
      <c r="BB182" s="13"/>
      <c r="BC182" s="14">
        <f t="shared" si="158"/>
        <v>0</v>
      </c>
      <c r="BD182" s="14">
        <f t="shared" si="159"/>
        <v>0</v>
      </c>
      <c r="BE182" s="13"/>
      <c r="BF182" s="14" t="str">
        <f t="shared" si="160"/>
        <v/>
      </c>
      <c r="BG182" s="13"/>
      <c r="BH182" s="14" t="str">
        <f t="shared" si="161"/>
        <v/>
      </c>
      <c r="BI182" s="14">
        <f t="shared" si="162"/>
        <v>0</v>
      </c>
      <c r="BJ182" s="14">
        <f t="shared" si="163"/>
        <v>0</v>
      </c>
      <c r="BK182" s="14" t="str">
        <f t="shared" si="164"/>
        <v>LOW RISK</v>
      </c>
      <c r="BL182" s="14" t="str">
        <f t="shared" si="165"/>
        <v/>
      </c>
      <c r="BM182" s="13"/>
      <c r="BN182" s="12"/>
      <c r="BO182" s="13"/>
      <c r="BP182" s="13"/>
      <c r="BQ182" s="13"/>
      <c r="BR182" s="13"/>
      <c r="BS182" s="13"/>
      <c r="BT182" s="13"/>
      <c r="BU182" s="14" t="str">
        <f t="shared" si="166"/>
        <v/>
      </c>
      <c r="BV182" s="13"/>
      <c r="BW182" s="13"/>
      <c r="BX182" s="13"/>
      <c r="BY182" s="13"/>
      <c r="BZ182" s="13"/>
      <c r="CA182" s="13"/>
      <c r="CB182" s="13"/>
      <c r="CC182" s="14" t="str">
        <f t="shared" si="167"/>
        <v/>
      </c>
      <c r="CD182" s="13"/>
      <c r="CE182" s="13"/>
      <c r="CF182" s="12"/>
      <c r="CG182" s="13"/>
      <c r="CH182" s="13"/>
      <c r="CI182" s="13"/>
      <c r="CJ182" s="13"/>
      <c r="CK182" s="13"/>
      <c r="CL182" s="12"/>
      <c r="CM182" s="13"/>
      <c r="CN182" s="13"/>
      <c r="CO182" s="13"/>
      <c r="CP182" s="12"/>
    </row>
    <row r="183" spans="1:94" x14ac:dyDescent="0.2">
      <c r="A183" s="12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4" t="str">
        <f t="shared" si="140"/>
        <v>✓ Clear to Score</v>
      </c>
      <c r="U183" s="13"/>
      <c r="V183" s="13"/>
      <c r="W183" s="14" t="str">
        <f t="shared" si="141"/>
        <v/>
      </c>
      <c r="X183" s="13"/>
      <c r="Y183" s="14" t="str">
        <f t="shared" si="142"/>
        <v/>
      </c>
      <c r="Z183" s="13"/>
      <c r="AA183" s="14" t="str">
        <f t="shared" si="143"/>
        <v/>
      </c>
      <c r="AB183" s="13"/>
      <c r="AC183" s="14" t="str">
        <f t="shared" si="144"/>
        <v/>
      </c>
      <c r="AD183" s="13"/>
      <c r="AE183" s="14">
        <f t="shared" si="145"/>
        <v>0</v>
      </c>
      <c r="AF183" s="14">
        <f t="shared" si="146"/>
        <v>0</v>
      </c>
      <c r="AG183" s="13"/>
      <c r="AH183" s="14" t="str">
        <f t="shared" si="147"/>
        <v/>
      </c>
      <c r="AI183" s="13"/>
      <c r="AJ183" s="14" t="str">
        <f t="shared" si="148"/>
        <v/>
      </c>
      <c r="AK183" s="13"/>
      <c r="AL183" s="14" t="str">
        <f t="shared" si="149"/>
        <v/>
      </c>
      <c r="AM183" s="13"/>
      <c r="AN183" s="14" t="str">
        <f t="shared" si="150"/>
        <v/>
      </c>
      <c r="AO183" s="13"/>
      <c r="AP183" s="14" t="str">
        <f t="shared" si="151"/>
        <v/>
      </c>
      <c r="AQ183" s="13"/>
      <c r="AR183" s="14">
        <f t="shared" si="152"/>
        <v>0</v>
      </c>
      <c r="AS183" s="13"/>
      <c r="AT183" s="14">
        <f t="shared" si="153"/>
        <v>0</v>
      </c>
      <c r="AU183" s="14">
        <f t="shared" si="154"/>
        <v>0</v>
      </c>
      <c r="AV183" s="13"/>
      <c r="AW183" s="14" t="str">
        <f t="shared" si="155"/>
        <v/>
      </c>
      <c r="AX183" s="13"/>
      <c r="AY183" s="14" t="str">
        <f t="shared" si="156"/>
        <v/>
      </c>
      <c r="AZ183" s="13"/>
      <c r="BA183" s="14" t="str">
        <f t="shared" si="157"/>
        <v/>
      </c>
      <c r="BB183" s="13"/>
      <c r="BC183" s="14">
        <f t="shared" si="158"/>
        <v>0</v>
      </c>
      <c r="BD183" s="14">
        <f t="shared" si="159"/>
        <v>0</v>
      </c>
      <c r="BE183" s="13"/>
      <c r="BF183" s="14" t="str">
        <f t="shared" si="160"/>
        <v/>
      </c>
      <c r="BG183" s="13"/>
      <c r="BH183" s="14" t="str">
        <f t="shared" si="161"/>
        <v/>
      </c>
      <c r="BI183" s="14">
        <f t="shared" si="162"/>
        <v>0</v>
      </c>
      <c r="BJ183" s="14">
        <f t="shared" si="163"/>
        <v>0</v>
      </c>
      <c r="BK183" s="14" t="str">
        <f t="shared" si="164"/>
        <v>LOW RISK</v>
      </c>
      <c r="BL183" s="14" t="str">
        <f t="shared" si="165"/>
        <v/>
      </c>
      <c r="BM183" s="13"/>
      <c r="BN183" s="12"/>
      <c r="BO183" s="13"/>
      <c r="BP183" s="13"/>
      <c r="BQ183" s="13"/>
      <c r="BR183" s="13"/>
      <c r="BS183" s="13"/>
      <c r="BT183" s="13"/>
      <c r="BU183" s="14" t="str">
        <f t="shared" si="166"/>
        <v/>
      </c>
      <c r="BV183" s="13"/>
      <c r="BW183" s="13"/>
      <c r="BX183" s="13"/>
      <c r="BY183" s="13"/>
      <c r="BZ183" s="13"/>
      <c r="CA183" s="13"/>
      <c r="CB183" s="13"/>
      <c r="CC183" s="14" t="str">
        <f t="shared" si="167"/>
        <v/>
      </c>
      <c r="CD183" s="13"/>
      <c r="CE183" s="13"/>
      <c r="CF183" s="12"/>
      <c r="CG183" s="13"/>
      <c r="CH183" s="13"/>
      <c r="CI183" s="13"/>
      <c r="CJ183" s="13"/>
      <c r="CK183" s="13"/>
      <c r="CL183" s="12"/>
      <c r="CM183" s="13"/>
      <c r="CN183" s="13"/>
      <c r="CO183" s="13"/>
      <c r="CP183" s="12"/>
    </row>
    <row r="184" spans="1:94" x14ac:dyDescent="0.2">
      <c r="A184" s="12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4" t="str">
        <f t="shared" si="140"/>
        <v>✓ Clear to Score</v>
      </c>
      <c r="U184" s="13"/>
      <c r="V184" s="13"/>
      <c r="W184" s="14" t="str">
        <f t="shared" si="141"/>
        <v/>
      </c>
      <c r="X184" s="13"/>
      <c r="Y184" s="14" t="str">
        <f t="shared" si="142"/>
        <v/>
      </c>
      <c r="Z184" s="13"/>
      <c r="AA184" s="14" t="str">
        <f t="shared" si="143"/>
        <v/>
      </c>
      <c r="AB184" s="13"/>
      <c r="AC184" s="14" t="str">
        <f t="shared" si="144"/>
        <v/>
      </c>
      <c r="AD184" s="13"/>
      <c r="AE184" s="14">
        <f t="shared" si="145"/>
        <v>0</v>
      </c>
      <c r="AF184" s="14">
        <f t="shared" si="146"/>
        <v>0</v>
      </c>
      <c r="AG184" s="13"/>
      <c r="AH184" s="14" t="str">
        <f t="shared" si="147"/>
        <v/>
      </c>
      <c r="AI184" s="13"/>
      <c r="AJ184" s="14" t="str">
        <f t="shared" si="148"/>
        <v/>
      </c>
      <c r="AK184" s="13"/>
      <c r="AL184" s="14" t="str">
        <f t="shared" si="149"/>
        <v/>
      </c>
      <c r="AM184" s="13"/>
      <c r="AN184" s="14" t="str">
        <f t="shared" si="150"/>
        <v/>
      </c>
      <c r="AO184" s="13"/>
      <c r="AP184" s="14" t="str">
        <f t="shared" si="151"/>
        <v/>
      </c>
      <c r="AQ184" s="13"/>
      <c r="AR184" s="14">
        <f t="shared" si="152"/>
        <v>0</v>
      </c>
      <c r="AS184" s="13"/>
      <c r="AT184" s="14">
        <f t="shared" si="153"/>
        <v>0</v>
      </c>
      <c r="AU184" s="14">
        <f t="shared" si="154"/>
        <v>0</v>
      </c>
      <c r="AV184" s="13"/>
      <c r="AW184" s="14" t="str">
        <f t="shared" si="155"/>
        <v/>
      </c>
      <c r="AX184" s="13"/>
      <c r="AY184" s="14" t="str">
        <f t="shared" si="156"/>
        <v/>
      </c>
      <c r="AZ184" s="13"/>
      <c r="BA184" s="14" t="str">
        <f t="shared" si="157"/>
        <v/>
      </c>
      <c r="BB184" s="13"/>
      <c r="BC184" s="14">
        <f t="shared" si="158"/>
        <v>0</v>
      </c>
      <c r="BD184" s="14">
        <f t="shared" si="159"/>
        <v>0</v>
      </c>
      <c r="BE184" s="13"/>
      <c r="BF184" s="14" t="str">
        <f t="shared" si="160"/>
        <v/>
      </c>
      <c r="BG184" s="13"/>
      <c r="BH184" s="14" t="str">
        <f t="shared" si="161"/>
        <v/>
      </c>
      <c r="BI184" s="14">
        <f t="shared" si="162"/>
        <v>0</v>
      </c>
      <c r="BJ184" s="14">
        <f t="shared" si="163"/>
        <v>0</v>
      </c>
      <c r="BK184" s="14" t="str">
        <f t="shared" si="164"/>
        <v>LOW RISK</v>
      </c>
      <c r="BL184" s="14" t="str">
        <f t="shared" si="165"/>
        <v/>
      </c>
      <c r="BM184" s="13"/>
      <c r="BN184" s="12"/>
      <c r="BO184" s="13"/>
      <c r="BP184" s="13"/>
      <c r="BQ184" s="13"/>
      <c r="BR184" s="13"/>
      <c r="BS184" s="13"/>
      <c r="BT184" s="13"/>
      <c r="BU184" s="14" t="str">
        <f t="shared" si="166"/>
        <v/>
      </c>
      <c r="BV184" s="13"/>
      <c r="BW184" s="13"/>
      <c r="BX184" s="13"/>
      <c r="BY184" s="13"/>
      <c r="BZ184" s="13"/>
      <c r="CA184" s="13"/>
      <c r="CB184" s="13"/>
      <c r="CC184" s="14" t="str">
        <f t="shared" si="167"/>
        <v/>
      </c>
      <c r="CD184" s="13"/>
      <c r="CE184" s="13"/>
      <c r="CF184" s="12"/>
      <c r="CG184" s="13"/>
      <c r="CH184" s="13"/>
      <c r="CI184" s="13"/>
      <c r="CJ184" s="13"/>
      <c r="CK184" s="13"/>
      <c r="CL184" s="12"/>
      <c r="CM184" s="13"/>
      <c r="CN184" s="13"/>
      <c r="CO184" s="13"/>
      <c r="CP184" s="12"/>
    </row>
    <row r="185" spans="1:94" x14ac:dyDescent="0.2">
      <c r="A185" s="12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4" t="str">
        <f t="shared" si="140"/>
        <v>✓ Clear to Score</v>
      </c>
      <c r="U185" s="13"/>
      <c r="V185" s="13"/>
      <c r="W185" s="14" t="str">
        <f t="shared" si="141"/>
        <v/>
      </c>
      <c r="X185" s="13"/>
      <c r="Y185" s="14" t="str">
        <f t="shared" si="142"/>
        <v/>
      </c>
      <c r="Z185" s="13"/>
      <c r="AA185" s="14" t="str">
        <f t="shared" si="143"/>
        <v/>
      </c>
      <c r="AB185" s="13"/>
      <c r="AC185" s="14" t="str">
        <f t="shared" si="144"/>
        <v/>
      </c>
      <c r="AD185" s="13"/>
      <c r="AE185" s="14">
        <f t="shared" si="145"/>
        <v>0</v>
      </c>
      <c r="AF185" s="14">
        <f t="shared" si="146"/>
        <v>0</v>
      </c>
      <c r="AG185" s="13"/>
      <c r="AH185" s="14" t="str">
        <f t="shared" si="147"/>
        <v/>
      </c>
      <c r="AI185" s="13"/>
      <c r="AJ185" s="14" t="str">
        <f t="shared" si="148"/>
        <v/>
      </c>
      <c r="AK185" s="13"/>
      <c r="AL185" s="14" t="str">
        <f t="shared" si="149"/>
        <v/>
      </c>
      <c r="AM185" s="13"/>
      <c r="AN185" s="14" t="str">
        <f t="shared" si="150"/>
        <v/>
      </c>
      <c r="AO185" s="13"/>
      <c r="AP185" s="14" t="str">
        <f t="shared" si="151"/>
        <v/>
      </c>
      <c r="AQ185" s="13"/>
      <c r="AR185" s="14">
        <f t="shared" si="152"/>
        <v>0</v>
      </c>
      <c r="AS185" s="13"/>
      <c r="AT185" s="14">
        <f t="shared" si="153"/>
        <v>0</v>
      </c>
      <c r="AU185" s="14">
        <f t="shared" si="154"/>
        <v>0</v>
      </c>
      <c r="AV185" s="13"/>
      <c r="AW185" s="14" t="str">
        <f t="shared" si="155"/>
        <v/>
      </c>
      <c r="AX185" s="13"/>
      <c r="AY185" s="14" t="str">
        <f t="shared" si="156"/>
        <v/>
      </c>
      <c r="AZ185" s="13"/>
      <c r="BA185" s="14" t="str">
        <f t="shared" si="157"/>
        <v/>
      </c>
      <c r="BB185" s="13"/>
      <c r="BC185" s="14">
        <f t="shared" si="158"/>
        <v>0</v>
      </c>
      <c r="BD185" s="14">
        <f t="shared" si="159"/>
        <v>0</v>
      </c>
      <c r="BE185" s="13"/>
      <c r="BF185" s="14" t="str">
        <f t="shared" si="160"/>
        <v/>
      </c>
      <c r="BG185" s="13"/>
      <c r="BH185" s="14" t="str">
        <f t="shared" si="161"/>
        <v/>
      </c>
      <c r="BI185" s="14">
        <f t="shared" si="162"/>
        <v>0</v>
      </c>
      <c r="BJ185" s="14">
        <f t="shared" si="163"/>
        <v>0</v>
      </c>
      <c r="BK185" s="14" t="str">
        <f t="shared" si="164"/>
        <v>LOW RISK</v>
      </c>
      <c r="BL185" s="14" t="str">
        <f t="shared" si="165"/>
        <v/>
      </c>
      <c r="BM185" s="13"/>
      <c r="BN185" s="12"/>
      <c r="BO185" s="13"/>
      <c r="BP185" s="13"/>
      <c r="BQ185" s="13"/>
      <c r="BR185" s="13"/>
      <c r="BS185" s="13"/>
      <c r="BT185" s="13"/>
      <c r="BU185" s="14" t="str">
        <f t="shared" si="166"/>
        <v/>
      </c>
      <c r="BV185" s="13"/>
      <c r="BW185" s="13"/>
      <c r="BX185" s="13"/>
      <c r="BY185" s="13"/>
      <c r="BZ185" s="13"/>
      <c r="CA185" s="13"/>
      <c r="CB185" s="13"/>
      <c r="CC185" s="14" t="str">
        <f t="shared" si="167"/>
        <v/>
      </c>
      <c r="CD185" s="13"/>
      <c r="CE185" s="13"/>
      <c r="CF185" s="12"/>
      <c r="CG185" s="13"/>
      <c r="CH185" s="13"/>
      <c r="CI185" s="13"/>
      <c r="CJ185" s="13"/>
      <c r="CK185" s="13"/>
      <c r="CL185" s="12"/>
      <c r="CM185" s="13"/>
      <c r="CN185" s="13"/>
      <c r="CO185" s="13"/>
      <c r="CP185" s="12"/>
    </row>
    <row r="186" spans="1:94" x14ac:dyDescent="0.2">
      <c r="A186" s="12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4" t="str">
        <f t="shared" si="140"/>
        <v>✓ Clear to Score</v>
      </c>
      <c r="U186" s="13"/>
      <c r="V186" s="13"/>
      <c r="W186" s="14" t="str">
        <f t="shared" si="141"/>
        <v/>
      </c>
      <c r="X186" s="13"/>
      <c r="Y186" s="14" t="str">
        <f t="shared" si="142"/>
        <v/>
      </c>
      <c r="Z186" s="13"/>
      <c r="AA186" s="14" t="str">
        <f t="shared" si="143"/>
        <v/>
      </c>
      <c r="AB186" s="13"/>
      <c r="AC186" s="14" t="str">
        <f t="shared" si="144"/>
        <v/>
      </c>
      <c r="AD186" s="13"/>
      <c r="AE186" s="14">
        <f t="shared" si="145"/>
        <v>0</v>
      </c>
      <c r="AF186" s="14">
        <f t="shared" si="146"/>
        <v>0</v>
      </c>
      <c r="AG186" s="13"/>
      <c r="AH186" s="14" t="str">
        <f t="shared" si="147"/>
        <v/>
      </c>
      <c r="AI186" s="13"/>
      <c r="AJ186" s="14" t="str">
        <f t="shared" si="148"/>
        <v/>
      </c>
      <c r="AK186" s="13"/>
      <c r="AL186" s="14" t="str">
        <f t="shared" si="149"/>
        <v/>
      </c>
      <c r="AM186" s="13"/>
      <c r="AN186" s="14" t="str">
        <f t="shared" si="150"/>
        <v/>
      </c>
      <c r="AO186" s="13"/>
      <c r="AP186" s="14" t="str">
        <f t="shared" si="151"/>
        <v/>
      </c>
      <c r="AQ186" s="13"/>
      <c r="AR186" s="14">
        <f t="shared" si="152"/>
        <v>0</v>
      </c>
      <c r="AS186" s="13"/>
      <c r="AT186" s="14">
        <f t="shared" si="153"/>
        <v>0</v>
      </c>
      <c r="AU186" s="14">
        <f t="shared" si="154"/>
        <v>0</v>
      </c>
      <c r="AV186" s="13"/>
      <c r="AW186" s="14" t="str">
        <f t="shared" si="155"/>
        <v/>
      </c>
      <c r="AX186" s="13"/>
      <c r="AY186" s="14" t="str">
        <f t="shared" si="156"/>
        <v/>
      </c>
      <c r="AZ186" s="13"/>
      <c r="BA186" s="14" t="str">
        <f t="shared" si="157"/>
        <v/>
      </c>
      <c r="BB186" s="13"/>
      <c r="BC186" s="14">
        <f t="shared" si="158"/>
        <v>0</v>
      </c>
      <c r="BD186" s="14">
        <f t="shared" si="159"/>
        <v>0</v>
      </c>
      <c r="BE186" s="13"/>
      <c r="BF186" s="14" t="str">
        <f t="shared" si="160"/>
        <v/>
      </c>
      <c r="BG186" s="13"/>
      <c r="BH186" s="14" t="str">
        <f t="shared" si="161"/>
        <v/>
      </c>
      <c r="BI186" s="14">
        <f t="shared" si="162"/>
        <v>0</v>
      </c>
      <c r="BJ186" s="14">
        <f t="shared" si="163"/>
        <v>0</v>
      </c>
      <c r="BK186" s="14" t="str">
        <f t="shared" si="164"/>
        <v>LOW RISK</v>
      </c>
      <c r="BL186" s="14" t="str">
        <f t="shared" si="165"/>
        <v/>
      </c>
      <c r="BM186" s="13"/>
      <c r="BN186" s="12"/>
      <c r="BO186" s="13"/>
      <c r="BP186" s="13"/>
      <c r="BQ186" s="13"/>
      <c r="BR186" s="13"/>
      <c r="BS186" s="13"/>
      <c r="BT186" s="13"/>
      <c r="BU186" s="14" t="str">
        <f t="shared" si="166"/>
        <v/>
      </c>
      <c r="BV186" s="13"/>
      <c r="BW186" s="13"/>
      <c r="BX186" s="13"/>
      <c r="BY186" s="13"/>
      <c r="BZ186" s="13"/>
      <c r="CA186" s="13"/>
      <c r="CB186" s="13"/>
      <c r="CC186" s="14" t="str">
        <f t="shared" si="167"/>
        <v/>
      </c>
      <c r="CD186" s="13"/>
      <c r="CE186" s="13"/>
      <c r="CF186" s="12"/>
      <c r="CG186" s="13"/>
      <c r="CH186" s="13"/>
      <c r="CI186" s="13"/>
      <c r="CJ186" s="13"/>
      <c r="CK186" s="13"/>
      <c r="CL186" s="12"/>
      <c r="CM186" s="13"/>
      <c r="CN186" s="13"/>
      <c r="CO186" s="13"/>
      <c r="CP186" s="12"/>
    </row>
    <row r="187" spans="1:94" x14ac:dyDescent="0.2">
      <c r="A187" s="12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4" t="str">
        <f t="shared" si="140"/>
        <v>✓ Clear to Score</v>
      </c>
      <c r="U187" s="13"/>
      <c r="V187" s="13"/>
      <c r="W187" s="14" t="str">
        <f t="shared" si="141"/>
        <v/>
      </c>
      <c r="X187" s="13"/>
      <c r="Y187" s="14" t="str">
        <f t="shared" si="142"/>
        <v/>
      </c>
      <c r="Z187" s="13"/>
      <c r="AA187" s="14" t="str">
        <f t="shared" si="143"/>
        <v/>
      </c>
      <c r="AB187" s="13"/>
      <c r="AC187" s="14" t="str">
        <f t="shared" si="144"/>
        <v/>
      </c>
      <c r="AD187" s="13"/>
      <c r="AE187" s="14">
        <f t="shared" si="145"/>
        <v>0</v>
      </c>
      <c r="AF187" s="14">
        <f t="shared" si="146"/>
        <v>0</v>
      </c>
      <c r="AG187" s="13"/>
      <c r="AH187" s="14" t="str">
        <f t="shared" si="147"/>
        <v/>
      </c>
      <c r="AI187" s="13"/>
      <c r="AJ187" s="14" t="str">
        <f t="shared" si="148"/>
        <v/>
      </c>
      <c r="AK187" s="13"/>
      <c r="AL187" s="14" t="str">
        <f t="shared" si="149"/>
        <v/>
      </c>
      <c r="AM187" s="13"/>
      <c r="AN187" s="14" t="str">
        <f t="shared" si="150"/>
        <v/>
      </c>
      <c r="AO187" s="13"/>
      <c r="AP187" s="14" t="str">
        <f t="shared" si="151"/>
        <v/>
      </c>
      <c r="AQ187" s="13"/>
      <c r="AR187" s="14">
        <f t="shared" si="152"/>
        <v>0</v>
      </c>
      <c r="AS187" s="13"/>
      <c r="AT187" s="14">
        <f t="shared" si="153"/>
        <v>0</v>
      </c>
      <c r="AU187" s="14">
        <f t="shared" si="154"/>
        <v>0</v>
      </c>
      <c r="AV187" s="13"/>
      <c r="AW187" s="14" t="str">
        <f t="shared" si="155"/>
        <v/>
      </c>
      <c r="AX187" s="13"/>
      <c r="AY187" s="14" t="str">
        <f t="shared" si="156"/>
        <v/>
      </c>
      <c r="AZ187" s="13"/>
      <c r="BA187" s="14" t="str">
        <f t="shared" si="157"/>
        <v/>
      </c>
      <c r="BB187" s="13"/>
      <c r="BC187" s="14">
        <f t="shared" si="158"/>
        <v>0</v>
      </c>
      <c r="BD187" s="14">
        <f t="shared" si="159"/>
        <v>0</v>
      </c>
      <c r="BE187" s="13"/>
      <c r="BF187" s="14" t="str">
        <f t="shared" si="160"/>
        <v/>
      </c>
      <c r="BG187" s="13"/>
      <c r="BH187" s="14" t="str">
        <f t="shared" si="161"/>
        <v/>
      </c>
      <c r="BI187" s="14">
        <f t="shared" si="162"/>
        <v>0</v>
      </c>
      <c r="BJ187" s="14">
        <f t="shared" si="163"/>
        <v>0</v>
      </c>
      <c r="BK187" s="14" t="str">
        <f t="shared" si="164"/>
        <v>LOW RISK</v>
      </c>
      <c r="BL187" s="14" t="str">
        <f t="shared" si="165"/>
        <v/>
      </c>
      <c r="BM187" s="13"/>
      <c r="BN187" s="12"/>
      <c r="BO187" s="13"/>
      <c r="BP187" s="13"/>
      <c r="BQ187" s="13"/>
      <c r="BR187" s="13"/>
      <c r="BS187" s="13"/>
      <c r="BT187" s="13"/>
      <c r="BU187" s="14" t="str">
        <f t="shared" si="166"/>
        <v/>
      </c>
      <c r="BV187" s="13"/>
      <c r="BW187" s="13"/>
      <c r="BX187" s="13"/>
      <c r="BY187" s="13"/>
      <c r="BZ187" s="13"/>
      <c r="CA187" s="13"/>
      <c r="CB187" s="13"/>
      <c r="CC187" s="14" t="str">
        <f t="shared" si="167"/>
        <v/>
      </c>
      <c r="CD187" s="13"/>
      <c r="CE187" s="13"/>
      <c r="CF187" s="12"/>
      <c r="CG187" s="13"/>
      <c r="CH187" s="13"/>
      <c r="CI187" s="13"/>
      <c r="CJ187" s="13"/>
      <c r="CK187" s="13"/>
      <c r="CL187" s="12"/>
      <c r="CM187" s="13"/>
      <c r="CN187" s="13"/>
      <c r="CO187" s="13"/>
      <c r="CP187" s="12"/>
    </row>
    <row r="188" spans="1:94" x14ac:dyDescent="0.2">
      <c r="A188" s="12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4" t="str">
        <f t="shared" si="140"/>
        <v>✓ Clear to Score</v>
      </c>
      <c r="U188" s="13"/>
      <c r="V188" s="13"/>
      <c r="W188" s="14" t="str">
        <f t="shared" si="141"/>
        <v/>
      </c>
      <c r="X188" s="13"/>
      <c r="Y188" s="14" t="str">
        <f t="shared" si="142"/>
        <v/>
      </c>
      <c r="Z188" s="13"/>
      <c r="AA188" s="14" t="str">
        <f t="shared" si="143"/>
        <v/>
      </c>
      <c r="AB188" s="13"/>
      <c r="AC188" s="14" t="str">
        <f t="shared" si="144"/>
        <v/>
      </c>
      <c r="AD188" s="13"/>
      <c r="AE188" s="14">
        <f t="shared" si="145"/>
        <v>0</v>
      </c>
      <c r="AF188" s="14">
        <f t="shared" si="146"/>
        <v>0</v>
      </c>
      <c r="AG188" s="13"/>
      <c r="AH188" s="14" t="str">
        <f t="shared" si="147"/>
        <v/>
      </c>
      <c r="AI188" s="13"/>
      <c r="AJ188" s="14" t="str">
        <f t="shared" si="148"/>
        <v/>
      </c>
      <c r="AK188" s="13"/>
      <c r="AL188" s="14" t="str">
        <f t="shared" si="149"/>
        <v/>
      </c>
      <c r="AM188" s="13"/>
      <c r="AN188" s="14" t="str">
        <f t="shared" si="150"/>
        <v/>
      </c>
      <c r="AO188" s="13"/>
      <c r="AP188" s="14" t="str">
        <f t="shared" si="151"/>
        <v/>
      </c>
      <c r="AQ188" s="13"/>
      <c r="AR188" s="14">
        <f t="shared" si="152"/>
        <v>0</v>
      </c>
      <c r="AS188" s="13"/>
      <c r="AT188" s="14">
        <f t="shared" si="153"/>
        <v>0</v>
      </c>
      <c r="AU188" s="14">
        <f t="shared" si="154"/>
        <v>0</v>
      </c>
      <c r="AV188" s="13"/>
      <c r="AW188" s="14" t="str">
        <f t="shared" si="155"/>
        <v/>
      </c>
      <c r="AX188" s="13"/>
      <c r="AY188" s="14" t="str">
        <f t="shared" si="156"/>
        <v/>
      </c>
      <c r="AZ188" s="13"/>
      <c r="BA188" s="14" t="str">
        <f t="shared" si="157"/>
        <v/>
      </c>
      <c r="BB188" s="13"/>
      <c r="BC188" s="14">
        <f t="shared" si="158"/>
        <v>0</v>
      </c>
      <c r="BD188" s="14">
        <f t="shared" si="159"/>
        <v>0</v>
      </c>
      <c r="BE188" s="13"/>
      <c r="BF188" s="14" t="str">
        <f t="shared" si="160"/>
        <v/>
      </c>
      <c r="BG188" s="13"/>
      <c r="BH188" s="14" t="str">
        <f t="shared" si="161"/>
        <v/>
      </c>
      <c r="BI188" s="14">
        <f t="shared" si="162"/>
        <v>0</v>
      </c>
      <c r="BJ188" s="14">
        <f t="shared" si="163"/>
        <v>0</v>
      </c>
      <c r="BK188" s="14" t="str">
        <f t="shared" si="164"/>
        <v>LOW RISK</v>
      </c>
      <c r="BL188" s="14" t="str">
        <f t="shared" si="165"/>
        <v/>
      </c>
      <c r="BM188" s="13"/>
      <c r="BN188" s="12"/>
      <c r="BO188" s="13"/>
      <c r="BP188" s="13"/>
      <c r="BQ188" s="13"/>
      <c r="BR188" s="13"/>
      <c r="BS188" s="13"/>
      <c r="BT188" s="13"/>
      <c r="BU188" s="14" t="str">
        <f t="shared" si="166"/>
        <v/>
      </c>
      <c r="BV188" s="13"/>
      <c r="BW188" s="13"/>
      <c r="BX188" s="13"/>
      <c r="BY188" s="13"/>
      <c r="BZ188" s="13"/>
      <c r="CA188" s="13"/>
      <c r="CB188" s="13"/>
      <c r="CC188" s="14" t="str">
        <f t="shared" si="167"/>
        <v/>
      </c>
      <c r="CD188" s="13"/>
      <c r="CE188" s="13"/>
      <c r="CF188" s="12"/>
      <c r="CG188" s="13"/>
      <c r="CH188" s="13"/>
      <c r="CI188" s="13"/>
      <c r="CJ188" s="13"/>
      <c r="CK188" s="13"/>
      <c r="CL188" s="12"/>
      <c r="CM188" s="13"/>
      <c r="CN188" s="13"/>
      <c r="CO188" s="13"/>
      <c r="CP188" s="12"/>
    </row>
    <row r="189" spans="1:94" x14ac:dyDescent="0.2">
      <c r="A189" s="12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4" t="str">
        <f t="shared" si="140"/>
        <v>✓ Clear to Score</v>
      </c>
      <c r="U189" s="13"/>
      <c r="V189" s="13"/>
      <c r="W189" s="14" t="str">
        <f t="shared" si="141"/>
        <v/>
      </c>
      <c r="X189" s="13"/>
      <c r="Y189" s="14" t="str">
        <f t="shared" si="142"/>
        <v/>
      </c>
      <c r="Z189" s="13"/>
      <c r="AA189" s="14" t="str">
        <f t="shared" si="143"/>
        <v/>
      </c>
      <c r="AB189" s="13"/>
      <c r="AC189" s="14" t="str">
        <f t="shared" si="144"/>
        <v/>
      </c>
      <c r="AD189" s="13"/>
      <c r="AE189" s="14">
        <f t="shared" si="145"/>
        <v>0</v>
      </c>
      <c r="AF189" s="14">
        <f t="shared" si="146"/>
        <v>0</v>
      </c>
      <c r="AG189" s="13"/>
      <c r="AH189" s="14" t="str">
        <f t="shared" si="147"/>
        <v/>
      </c>
      <c r="AI189" s="13"/>
      <c r="AJ189" s="14" t="str">
        <f t="shared" si="148"/>
        <v/>
      </c>
      <c r="AK189" s="13"/>
      <c r="AL189" s="14" t="str">
        <f t="shared" si="149"/>
        <v/>
      </c>
      <c r="AM189" s="13"/>
      <c r="AN189" s="14" t="str">
        <f t="shared" si="150"/>
        <v/>
      </c>
      <c r="AO189" s="13"/>
      <c r="AP189" s="14" t="str">
        <f t="shared" si="151"/>
        <v/>
      </c>
      <c r="AQ189" s="13"/>
      <c r="AR189" s="14">
        <f t="shared" si="152"/>
        <v>0</v>
      </c>
      <c r="AS189" s="13"/>
      <c r="AT189" s="14">
        <f t="shared" si="153"/>
        <v>0</v>
      </c>
      <c r="AU189" s="14">
        <f t="shared" si="154"/>
        <v>0</v>
      </c>
      <c r="AV189" s="13"/>
      <c r="AW189" s="14" t="str">
        <f t="shared" si="155"/>
        <v/>
      </c>
      <c r="AX189" s="13"/>
      <c r="AY189" s="14" t="str">
        <f t="shared" si="156"/>
        <v/>
      </c>
      <c r="AZ189" s="13"/>
      <c r="BA189" s="14" t="str">
        <f t="shared" si="157"/>
        <v/>
      </c>
      <c r="BB189" s="13"/>
      <c r="BC189" s="14">
        <f t="shared" si="158"/>
        <v>0</v>
      </c>
      <c r="BD189" s="14">
        <f t="shared" si="159"/>
        <v>0</v>
      </c>
      <c r="BE189" s="13"/>
      <c r="BF189" s="14" t="str">
        <f t="shared" si="160"/>
        <v/>
      </c>
      <c r="BG189" s="13"/>
      <c r="BH189" s="14" t="str">
        <f t="shared" si="161"/>
        <v/>
      </c>
      <c r="BI189" s="14">
        <f t="shared" si="162"/>
        <v>0</v>
      </c>
      <c r="BJ189" s="14">
        <f t="shared" si="163"/>
        <v>0</v>
      </c>
      <c r="BK189" s="14" t="str">
        <f t="shared" si="164"/>
        <v>LOW RISK</v>
      </c>
      <c r="BL189" s="14" t="str">
        <f t="shared" si="165"/>
        <v/>
      </c>
      <c r="BM189" s="13"/>
      <c r="BN189" s="12"/>
      <c r="BO189" s="13"/>
      <c r="BP189" s="13"/>
      <c r="BQ189" s="13"/>
      <c r="BR189" s="13"/>
      <c r="BS189" s="13"/>
      <c r="BT189" s="13"/>
      <c r="BU189" s="14" t="str">
        <f t="shared" si="166"/>
        <v/>
      </c>
      <c r="BV189" s="13"/>
      <c r="BW189" s="13"/>
      <c r="BX189" s="13"/>
      <c r="BY189" s="13"/>
      <c r="BZ189" s="13"/>
      <c r="CA189" s="13"/>
      <c r="CB189" s="13"/>
      <c r="CC189" s="14" t="str">
        <f t="shared" si="167"/>
        <v/>
      </c>
      <c r="CD189" s="13"/>
      <c r="CE189" s="13"/>
      <c r="CF189" s="12"/>
      <c r="CG189" s="13"/>
      <c r="CH189" s="13"/>
      <c r="CI189" s="13"/>
      <c r="CJ189" s="13"/>
      <c r="CK189" s="13"/>
      <c r="CL189" s="12"/>
      <c r="CM189" s="13"/>
      <c r="CN189" s="13"/>
      <c r="CO189" s="13"/>
      <c r="CP189" s="12"/>
    </row>
    <row r="190" spans="1:94" x14ac:dyDescent="0.2">
      <c r="A190" s="12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4" t="str">
        <f t="shared" si="140"/>
        <v>✓ Clear to Score</v>
      </c>
      <c r="U190" s="13"/>
      <c r="V190" s="13"/>
      <c r="W190" s="14" t="str">
        <f t="shared" si="141"/>
        <v/>
      </c>
      <c r="X190" s="13"/>
      <c r="Y190" s="14" t="str">
        <f t="shared" si="142"/>
        <v/>
      </c>
      <c r="Z190" s="13"/>
      <c r="AA190" s="14" t="str">
        <f t="shared" si="143"/>
        <v/>
      </c>
      <c r="AB190" s="13"/>
      <c r="AC190" s="14" t="str">
        <f t="shared" si="144"/>
        <v/>
      </c>
      <c r="AD190" s="13"/>
      <c r="AE190" s="14">
        <f t="shared" si="145"/>
        <v>0</v>
      </c>
      <c r="AF190" s="14">
        <f t="shared" si="146"/>
        <v>0</v>
      </c>
      <c r="AG190" s="13"/>
      <c r="AH190" s="14" t="str">
        <f t="shared" si="147"/>
        <v/>
      </c>
      <c r="AI190" s="13"/>
      <c r="AJ190" s="14" t="str">
        <f t="shared" si="148"/>
        <v/>
      </c>
      <c r="AK190" s="13"/>
      <c r="AL190" s="14" t="str">
        <f t="shared" si="149"/>
        <v/>
      </c>
      <c r="AM190" s="13"/>
      <c r="AN190" s="14" t="str">
        <f t="shared" si="150"/>
        <v/>
      </c>
      <c r="AO190" s="13"/>
      <c r="AP190" s="14" t="str">
        <f t="shared" si="151"/>
        <v/>
      </c>
      <c r="AQ190" s="13"/>
      <c r="AR190" s="14">
        <f t="shared" si="152"/>
        <v>0</v>
      </c>
      <c r="AS190" s="13"/>
      <c r="AT190" s="14">
        <f t="shared" si="153"/>
        <v>0</v>
      </c>
      <c r="AU190" s="14">
        <f t="shared" si="154"/>
        <v>0</v>
      </c>
      <c r="AV190" s="13"/>
      <c r="AW190" s="14" t="str">
        <f t="shared" si="155"/>
        <v/>
      </c>
      <c r="AX190" s="13"/>
      <c r="AY190" s="14" t="str">
        <f t="shared" si="156"/>
        <v/>
      </c>
      <c r="AZ190" s="13"/>
      <c r="BA190" s="14" t="str">
        <f t="shared" si="157"/>
        <v/>
      </c>
      <c r="BB190" s="13"/>
      <c r="BC190" s="14">
        <f t="shared" si="158"/>
        <v>0</v>
      </c>
      <c r="BD190" s="14">
        <f t="shared" si="159"/>
        <v>0</v>
      </c>
      <c r="BE190" s="13"/>
      <c r="BF190" s="14" t="str">
        <f t="shared" si="160"/>
        <v/>
      </c>
      <c r="BG190" s="13"/>
      <c r="BH190" s="14" t="str">
        <f t="shared" si="161"/>
        <v/>
      </c>
      <c r="BI190" s="14">
        <f t="shared" si="162"/>
        <v>0</v>
      </c>
      <c r="BJ190" s="14">
        <f t="shared" si="163"/>
        <v>0</v>
      </c>
      <c r="BK190" s="14" t="str">
        <f t="shared" si="164"/>
        <v>LOW RISK</v>
      </c>
      <c r="BL190" s="14" t="str">
        <f t="shared" si="165"/>
        <v/>
      </c>
      <c r="BM190" s="13"/>
      <c r="BN190" s="12"/>
      <c r="BO190" s="13"/>
      <c r="BP190" s="13"/>
      <c r="BQ190" s="13"/>
      <c r="BR190" s="13"/>
      <c r="BS190" s="13"/>
      <c r="BT190" s="13"/>
      <c r="BU190" s="14" t="str">
        <f t="shared" si="166"/>
        <v/>
      </c>
      <c r="BV190" s="13"/>
      <c r="BW190" s="13"/>
      <c r="BX190" s="13"/>
      <c r="BY190" s="13"/>
      <c r="BZ190" s="13"/>
      <c r="CA190" s="13"/>
      <c r="CB190" s="13"/>
      <c r="CC190" s="14" t="str">
        <f t="shared" si="167"/>
        <v/>
      </c>
      <c r="CD190" s="13"/>
      <c r="CE190" s="13"/>
      <c r="CF190" s="12"/>
      <c r="CG190" s="13"/>
      <c r="CH190" s="13"/>
      <c r="CI190" s="13"/>
      <c r="CJ190" s="13"/>
      <c r="CK190" s="13"/>
      <c r="CL190" s="12"/>
      <c r="CM190" s="13"/>
      <c r="CN190" s="13"/>
      <c r="CO190" s="13"/>
      <c r="CP190" s="12"/>
    </row>
    <row r="191" spans="1:94" x14ac:dyDescent="0.2">
      <c r="A191" s="12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4" t="str">
        <f t="shared" si="140"/>
        <v>✓ Clear to Score</v>
      </c>
      <c r="U191" s="13"/>
      <c r="V191" s="13"/>
      <c r="W191" s="14" t="str">
        <f t="shared" si="141"/>
        <v/>
      </c>
      <c r="X191" s="13"/>
      <c r="Y191" s="14" t="str">
        <f t="shared" si="142"/>
        <v/>
      </c>
      <c r="Z191" s="13"/>
      <c r="AA191" s="14" t="str">
        <f t="shared" si="143"/>
        <v/>
      </c>
      <c r="AB191" s="13"/>
      <c r="AC191" s="14" t="str">
        <f t="shared" si="144"/>
        <v/>
      </c>
      <c r="AD191" s="13"/>
      <c r="AE191" s="14">
        <f t="shared" si="145"/>
        <v>0</v>
      </c>
      <c r="AF191" s="14">
        <f t="shared" si="146"/>
        <v>0</v>
      </c>
      <c r="AG191" s="13"/>
      <c r="AH191" s="14" t="str">
        <f t="shared" si="147"/>
        <v/>
      </c>
      <c r="AI191" s="13"/>
      <c r="AJ191" s="14" t="str">
        <f t="shared" si="148"/>
        <v/>
      </c>
      <c r="AK191" s="13"/>
      <c r="AL191" s="14" t="str">
        <f t="shared" si="149"/>
        <v/>
      </c>
      <c r="AM191" s="13"/>
      <c r="AN191" s="14" t="str">
        <f t="shared" si="150"/>
        <v/>
      </c>
      <c r="AO191" s="13"/>
      <c r="AP191" s="14" t="str">
        <f t="shared" si="151"/>
        <v/>
      </c>
      <c r="AQ191" s="13"/>
      <c r="AR191" s="14">
        <f t="shared" si="152"/>
        <v>0</v>
      </c>
      <c r="AS191" s="13"/>
      <c r="AT191" s="14">
        <f t="shared" si="153"/>
        <v>0</v>
      </c>
      <c r="AU191" s="14">
        <f t="shared" si="154"/>
        <v>0</v>
      </c>
      <c r="AV191" s="13"/>
      <c r="AW191" s="14" t="str">
        <f t="shared" si="155"/>
        <v/>
      </c>
      <c r="AX191" s="13"/>
      <c r="AY191" s="14" t="str">
        <f t="shared" si="156"/>
        <v/>
      </c>
      <c r="AZ191" s="13"/>
      <c r="BA191" s="14" t="str">
        <f t="shared" si="157"/>
        <v/>
      </c>
      <c r="BB191" s="13"/>
      <c r="BC191" s="14">
        <f t="shared" si="158"/>
        <v>0</v>
      </c>
      <c r="BD191" s="14">
        <f t="shared" si="159"/>
        <v>0</v>
      </c>
      <c r="BE191" s="13"/>
      <c r="BF191" s="14" t="str">
        <f t="shared" si="160"/>
        <v/>
      </c>
      <c r="BG191" s="13"/>
      <c r="BH191" s="14" t="str">
        <f t="shared" si="161"/>
        <v/>
      </c>
      <c r="BI191" s="14">
        <f t="shared" si="162"/>
        <v>0</v>
      </c>
      <c r="BJ191" s="14">
        <f t="shared" si="163"/>
        <v>0</v>
      </c>
      <c r="BK191" s="14" t="str">
        <f t="shared" si="164"/>
        <v>LOW RISK</v>
      </c>
      <c r="BL191" s="14" t="str">
        <f t="shared" si="165"/>
        <v/>
      </c>
      <c r="BM191" s="13"/>
      <c r="BN191" s="12"/>
      <c r="BO191" s="13"/>
      <c r="BP191" s="13"/>
      <c r="BQ191" s="13"/>
      <c r="BR191" s="13"/>
      <c r="BS191" s="13"/>
      <c r="BT191" s="13"/>
      <c r="BU191" s="14" t="str">
        <f t="shared" si="166"/>
        <v/>
      </c>
      <c r="BV191" s="13"/>
      <c r="BW191" s="13"/>
      <c r="BX191" s="13"/>
      <c r="BY191" s="13"/>
      <c r="BZ191" s="13"/>
      <c r="CA191" s="13"/>
      <c r="CB191" s="13"/>
      <c r="CC191" s="14" t="str">
        <f t="shared" si="167"/>
        <v/>
      </c>
      <c r="CD191" s="13"/>
      <c r="CE191" s="13"/>
      <c r="CF191" s="12"/>
      <c r="CG191" s="13"/>
      <c r="CH191" s="13"/>
      <c r="CI191" s="13"/>
      <c r="CJ191" s="13"/>
      <c r="CK191" s="13"/>
      <c r="CL191" s="12"/>
      <c r="CM191" s="13"/>
      <c r="CN191" s="13"/>
      <c r="CO191" s="13"/>
      <c r="CP191" s="12"/>
    </row>
    <row r="192" spans="1:94" x14ac:dyDescent="0.2">
      <c r="A192" s="12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4" t="str">
        <f t="shared" si="140"/>
        <v>✓ Clear to Score</v>
      </c>
      <c r="U192" s="13"/>
      <c r="V192" s="13"/>
      <c r="W192" s="14" t="str">
        <f t="shared" si="141"/>
        <v/>
      </c>
      <c r="X192" s="13"/>
      <c r="Y192" s="14" t="str">
        <f t="shared" si="142"/>
        <v/>
      </c>
      <c r="Z192" s="13"/>
      <c r="AA192" s="14" t="str">
        <f t="shared" si="143"/>
        <v/>
      </c>
      <c r="AB192" s="13"/>
      <c r="AC192" s="14" t="str">
        <f t="shared" si="144"/>
        <v/>
      </c>
      <c r="AD192" s="13"/>
      <c r="AE192" s="14">
        <f t="shared" si="145"/>
        <v>0</v>
      </c>
      <c r="AF192" s="14">
        <f t="shared" si="146"/>
        <v>0</v>
      </c>
      <c r="AG192" s="13"/>
      <c r="AH192" s="14" t="str">
        <f t="shared" si="147"/>
        <v/>
      </c>
      <c r="AI192" s="13"/>
      <c r="AJ192" s="14" t="str">
        <f t="shared" si="148"/>
        <v/>
      </c>
      <c r="AK192" s="13"/>
      <c r="AL192" s="14" t="str">
        <f t="shared" si="149"/>
        <v/>
      </c>
      <c r="AM192" s="13"/>
      <c r="AN192" s="14" t="str">
        <f t="shared" si="150"/>
        <v/>
      </c>
      <c r="AO192" s="13"/>
      <c r="AP192" s="14" t="str">
        <f t="shared" si="151"/>
        <v/>
      </c>
      <c r="AQ192" s="13"/>
      <c r="AR192" s="14">
        <f t="shared" si="152"/>
        <v>0</v>
      </c>
      <c r="AS192" s="13"/>
      <c r="AT192" s="14">
        <f t="shared" si="153"/>
        <v>0</v>
      </c>
      <c r="AU192" s="14">
        <f t="shared" si="154"/>
        <v>0</v>
      </c>
      <c r="AV192" s="13"/>
      <c r="AW192" s="14" t="str">
        <f t="shared" si="155"/>
        <v/>
      </c>
      <c r="AX192" s="13"/>
      <c r="AY192" s="14" t="str">
        <f t="shared" si="156"/>
        <v/>
      </c>
      <c r="AZ192" s="13"/>
      <c r="BA192" s="14" t="str">
        <f t="shared" si="157"/>
        <v/>
      </c>
      <c r="BB192" s="13"/>
      <c r="BC192" s="14">
        <f t="shared" si="158"/>
        <v>0</v>
      </c>
      <c r="BD192" s="14">
        <f t="shared" si="159"/>
        <v>0</v>
      </c>
      <c r="BE192" s="13"/>
      <c r="BF192" s="14" t="str">
        <f t="shared" si="160"/>
        <v/>
      </c>
      <c r="BG192" s="13"/>
      <c r="BH192" s="14" t="str">
        <f t="shared" si="161"/>
        <v/>
      </c>
      <c r="BI192" s="14">
        <f t="shared" si="162"/>
        <v>0</v>
      </c>
      <c r="BJ192" s="14">
        <f t="shared" si="163"/>
        <v>0</v>
      </c>
      <c r="BK192" s="14" t="str">
        <f t="shared" si="164"/>
        <v>LOW RISK</v>
      </c>
      <c r="BL192" s="14" t="str">
        <f t="shared" si="165"/>
        <v/>
      </c>
      <c r="BM192" s="13"/>
      <c r="BN192" s="12"/>
      <c r="BO192" s="13"/>
      <c r="BP192" s="13"/>
      <c r="BQ192" s="13"/>
      <c r="BR192" s="13"/>
      <c r="BS192" s="13"/>
      <c r="BT192" s="13"/>
      <c r="BU192" s="14" t="str">
        <f t="shared" si="166"/>
        <v/>
      </c>
      <c r="BV192" s="13"/>
      <c r="BW192" s="13"/>
      <c r="BX192" s="13"/>
      <c r="BY192" s="13"/>
      <c r="BZ192" s="13"/>
      <c r="CA192" s="13"/>
      <c r="CB192" s="13"/>
      <c r="CC192" s="14" t="str">
        <f t="shared" si="167"/>
        <v/>
      </c>
      <c r="CD192" s="13"/>
      <c r="CE192" s="13"/>
      <c r="CF192" s="12"/>
      <c r="CG192" s="13"/>
      <c r="CH192" s="13"/>
      <c r="CI192" s="13"/>
      <c r="CJ192" s="13"/>
      <c r="CK192" s="13"/>
      <c r="CL192" s="12"/>
      <c r="CM192" s="13"/>
      <c r="CN192" s="13"/>
      <c r="CO192" s="13"/>
      <c r="CP192" s="12"/>
    </row>
    <row r="193" spans="1:94" x14ac:dyDescent="0.2">
      <c r="A193" s="12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4" t="str">
        <f t="shared" si="140"/>
        <v>✓ Clear to Score</v>
      </c>
      <c r="U193" s="13"/>
      <c r="V193" s="13"/>
      <c r="W193" s="14" t="str">
        <f t="shared" si="141"/>
        <v/>
      </c>
      <c r="X193" s="13"/>
      <c r="Y193" s="14" t="str">
        <f t="shared" si="142"/>
        <v/>
      </c>
      <c r="Z193" s="13"/>
      <c r="AA193" s="14" t="str">
        <f t="shared" si="143"/>
        <v/>
      </c>
      <c r="AB193" s="13"/>
      <c r="AC193" s="14" t="str">
        <f t="shared" si="144"/>
        <v/>
      </c>
      <c r="AD193" s="13"/>
      <c r="AE193" s="14">
        <f t="shared" si="145"/>
        <v>0</v>
      </c>
      <c r="AF193" s="14">
        <f t="shared" si="146"/>
        <v>0</v>
      </c>
      <c r="AG193" s="13"/>
      <c r="AH193" s="14" t="str">
        <f t="shared" si="147"/>
        <v/>
      </c>
      <c r="AI193" s="13"/>
      <c r="AJ193" s="14" t="str">
        <f t="shared" si="148"/>
        <v/>
      </c>
      <c r="AK193" s="13"/>
      <c r="AL193" s="14" t="str">
        <f t="shared" si="149"/>
        <v/>
      </c>
      <c r="AM193" s="13"/>
      <c r="AN193" s="14" t="str">
        <f t="shared" si="150"/>
        <v/>
      </c>
      <c r="AO193" s="13"/>
      <c r="AP193" s="14" t="str">
        <f t="shared" si="151"/>
        <v/>
      </c>
      <c r="AQ193" s="13"/>
      <c r="AR193" s="14">
        <f t="shared" si="152"/>
        <v>0</v>
      </c>
      <c r="AS193" s="13"/>
      <c r="AT193" s="14">
        <f t="shared" si="153"/>
        <v>0</v>
      </c>
      <c r="AU193" s="14">
        <f t="shared" si="154"/>
        <v>0</v>
      </c>
      <c r="AV193" s="13"/>
      <c r="AW193" s="14" t="str">
        <f t="shared" si="155"/>
        <v/>
      </c>
      <c r="AX193" s="13"/>
      <c r="AY193" s="14" t="str">
        <f t="shared" si="156"/>
        <v/>
      </c>
      <c r="AZ193" s="13"/>
      <c r="BA193" s="14" t="str">
        <f t="shared" si="157"/>
        <v/>
      </c>
      <c r="BB193" s="13"/>
      <c r="BC193" s="14">
        <f t="shared" si="158"/>
        <v>0</v>
      </c>
      <c r="BD193" s="14">
        <f t="shared" si="159"/>
        <v>0</v>
      </c>
      <c r="BE193" s="13"/>
      <c r="BF193" s="14" t="str">
        <f t="shared" si="160"/>
        <v/>
      </c>
      <c r="BG193" s="13"/>
      <c r="BH193" s="14" t="str">
        <f t="shared" si="161"/>
        <v/>
      </c>
      <c r="BI193" s="14">
        <f t="shared" si="162"/>
        <v>0</v>
      </c>
      <c r="BJ193" s="14">
        <f t="shared" si="163"/>
        <v>0</v>
      </c>
      <c r="BK193" s="14" t="str">
        <f t="shared" si="164"/>
        <v>LOW RISK</v>
      </c>
      <c r="BL193" s="14" t="str">
        <f t="shared" si="165"/>
        <v/>
      </c>
      <c r="BM193" s="13"/>
      <c r="BN193" s="12"/>
      <c r="BO193" s="13"/>
      <c r="BP193" s="13"/>
      <c r="BQ193" s="13"/>
      <c r="BR193" s="13"/>
      <c r="BS193" s="13"/>
      <c r="BT193" s="13"/>
      <c r="BU193" s="14" t="str">
        <f t="shared" si="166"/>
        <v/>
      </c>
      <c r="BV193" s="13"/>
      <c r="BW193" s="13"/>
      <c r="BX193" s="13"/>
      <c r="BY193" s="13"/>
      <c r="BZ193" s="13"/>
      <c r="CA193" s="13"/>
      <c r="CB193" s="13"/>
      <c r="CC193" s="14" t="str">
        <f t="shared" si="167"/>
        <v/>
      </c>
      <c r="CD193" s="13"/>
      <c r="CE193" s="13"/>
      <c r="CF193" s="12"/>
      <c r="CG193" s="13"/>
      <c r="CH193" s="13"/>
      <c r="CI193" s="13"/>
      <c r="CJ193" s="13"/>
      <c r="CK193" s="13"/>
      <c r="CL193" s="12"/>
      <c r="CM193" s="13"/>
      <c r="CN193" s="13"/>
      <c r="CO193" s="13"/>
      <c r="CP193" s="12"/>
    </row>
    <row r="194" spans="1:94" x14ac:dyDescent="0.2">
      <c r="A194" s="12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4" t="str">
        <f t="shared" si="140"/>
        <v>✓ Clear to Score</v>
      </c>
      <c r="U194" s="13"/>
      <c r="V194" s="13"/>
      <c r="W194" s="14" t="str">
        <f t="shared" si="141"/>
        <v/>
      </c>
      <c r="X194" s="13"/>
      <c r="Y194" s="14" t="str">
        <f t="shared" si="142"/>
        <v/>
      </c>
      <c r="Z194" s="13"/>
      <c r="AA194" s="14" t="str">
        <f t="shared" si="143"/>
        <v/>
      </c>
      <c r="AB194" s="13"/>
      <c r="AC194" s="14" t="str">
        <f t="shared" si="144"/>
        <v/>
      </c>
      <c r="AD194" s="13"/>
      <c r="AE194" s="14">
        <f t="shared" si="145"/>
        <v>0</v>
      </c>
      <c r="AF194" s="14">
        <f t="shared" si="146"/>
        <v>0</v>
      </c>
      <c r="AG194" s="13"/>
      <c r="AH194" s="14" t="str">
        <f t="shared" si="147"/>
        <v/>
      </c>
      <c r="AI194" s="13"/>
      <c r="AJ194" s="14" t="str">
        <f t="shared" si="148"/>
        <v/>
      </c>
      <c r="AK194" s="13"/>
      <c r="AL194" s="14" t="str">
        <f t="shared" si="149"/>
        <v/>
      </c>
      <c r="AM194" s="13"/>
      <c r="AN194" s="14" t="str">
        <f t="shared" si="150"/>
        <v/>
      </c>
      <c r="AO194" s="13"/>
      <c r="AP194" s="14" t="str">
        <f t="shared" si="151"/>
        <v/>
      </c>
      <c r="AQ194" s="13"/>
      <c r="AR194" s="14">
        <f t="shared" si="152"/>
        <v>0</v>
      </c>
      <c r="AS194" s="13"/>
      <c r="AT194" s="14">
        <f t="shared" si="153"/>
        <v>0</v>
      </c>
      <c r="AU194" s="14">
        <f t="shared" si="154"/>
        <v>0</v>
      </c>
      <c r="AV194" s="13"/>
      <c r="AW194" s="14" t="str">
        <f t="shared" si="155"/>
        <v/>
      </c>
      <c r="AX194" s="13"/>
      <c r="AY194" s="14" t="str">
        <f t="shared" si="156"/>
        <v/>
      </c>
      <c r="AZ194" s="13"/>
      <c r="BA194" s="14" t="str">
        <f t="shared" si="157"/>
        <v/>
      </c>
      <c r="BB194" s="13"/>
      <c r="BC194" s="14">
        <f t="shared" si="158"/>
        <v>0</v>
      </c>
      <c r="BD194" s="14">
        <f t="shared" si="159"/>
        <v>0</v>
      </c>
      <c r="BE194" s="13"/>
      <c r="BF194" s="14" t="str">
        <f t="shared" si="160"/>
        <v/>
      </c>
      <c r="BG194" s="13"/>
      <c r="BH194" s="14" t="str">
        <f t="shared" si="161"/>
        <v/>
      </c>
      <c r="BI194" s="14">
        <f t="shared" si="162"/>
        <v>0</v>
      </c>
      <c r="BJ194" s="14">
        <f t="shared" si="163"/>
        <v>0</v>
      </c>
      <c r="BK194" s="14" t="str">
        <f t="shared" si="164"/>
        <v>LOW RISK</v>
      </c>
      <c r="BL194" s="14" t="str">
        <f t="shared" si="165"/>
        <v/>
      </c>
      <c r="BM194" s="13"/>
      <c r="BN194" s="12"/>
      <c r="BO194" s="13"/>
      <c r="BP194" s="13"/>
      <c r="BQ194" s="13"/>
      <c r="BR194" s="13"/>
      <c r="BS194" s="13"/>
      <c r="BT194" s="13"/>
      <c r="BU194" s="14" t="str">
        <f t="shared" si="166"/>
        <v/>
      </c>
      <c r="BV194" s="13"/>
      <c r="BW194" s="13"/>
      <c r="BX194" s="13"/>
      <c r="BY194" s="13"/>
      <c r="BZ194" s="13"/>
      <c r="CA194" s="13"/>
      <c r="CB194" s="13"/>
      <c r="CC194" s="14" t="str">
        <f t="shared" si="167"/>
        <v/>
      </c>
      <c r="CD194" s="13"/>
      <c r="CE194" s="13"/>
      <c r="CF194" s="12"/>
      <c r="CG194" s="13"/>
      <c r="CH194" s="13"/>
      <c r="CI194" s="13"/>
      <c r="CJ194" s="13"/>
      <c r="CK194" s="13"/>
      <c r="CL194" s="12"/>
      <c r="CM194" s="13"/>
      <c r="CN194" s="13"/>
      <c r="CO194" s="13"/>
      <c r="CP194" s="12"/>
    </row>
    <row r="195" spans="1:94" x14ac:dyDescent="0.2">
      <c r="A195" s="12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4" t="str">
        <f t="shared" ref="T195:T202" si="168">IF(COUNTIF(K195:S195,"Y")&gt;0,"STOP — ABS CI PRESENT","✓ Clear to Score")</f>
        <v>✓ Clear to Score</v>
      </c>
      <c r="U195" s="13"/>
      <c r="V195" s="13"/>
      <c r="W195" s="14" t="str">
        <f t="shared" ref="W195:W202" si="169">IFERROR(IF(V195="","",IF(V195="≥3.5 g/dL",0,IF(V195="3.0-3.49 g/dL",1,IF(V195="2.5-2.99 g/dL",3,0)))),"")</f>
        <v/>
      </c>
      <c r="X195" s="13"/>
      <c r="Y195" s="14" t="str">
        <f t="shared" ref="Y195:Y202" si="170">IFERROR(IF(X195="","",IF(X195="≥18 mg/dL",0,IF(X195="12-17.9 mg/dL",1,2))),"")</f>
        <v/>
      </c>
      <c r="Z195" s="13"/>
      <c r="AA195" s="14" t="str">
        <f t="shared" ref="AA195:AA202" si="171">IFERROR(IF(Z195="","",IF(ISNUMBER(SEARCH("Normal",Z195)),0,IF(ISNUMBER(SEARCH("Borderline",Z195)),1,3))),"")</f>
        <v/>
      </c>
      <c r="AB195" s="13"/>
      <c r="AC195" s="14" t="str">
        <f t="shared" ref="AC195:AC202" si="172">IFERROR(IF(U195="N",0,IF(AB195="","",IF(AB195="0.5-2.0 ng/mL",1,0))),"")</f>
        <v/>
      </c>
      <c r="AD195" s="13"/>
      <c r="AE195" s="14">
        <f t="shared" ref="AE195:AE202" si="173">IFERROR(IF(U195="N",0,IF(AD195="Y",1,0)),"")</f>
        <v>0</v>
      </c>
      <c r="AF195" s="14">
        <f t="shared" ref="AF195:AF202" si="174">IFERROR(SUM(W195,Y195,AA195,AC195,AE195),"")</f>
        <v>0</v>
      </c>
      <c r="AG195" s="13"/>
      <c r="AH195" s="14" t="str">
        <f t="shared" ref="AH195:AH202" si="175">IFERROR(IF(AG195="","",IF(AG195="Ischial",3,IF(AG195="Multiple Sites",1,0))),"")</f>
        <v/>
      </c>
      <c r="AI195" s="13"/>
      <c r="AJ195" s="14" t="str">
        <f t="shared" ref="AJ195:AJ202" si="176">IFERROR(IF(AI195="","",IF(AI195="&lt;50 cm²",0,IF(AI195="50-100 cm²",1,2))),"")</f>
        <v/>
      </c>
      <c r="AK195" s="13"/>
      <c r="AL195" s="14" t="str">
        <f t="shared" ref="AL195:AL202" si="177">IFERROR(IF(AK195="","",IF(AK195="None",0,IF(AK195="Chronic (&gt;4wk + sequestrum/sinus)",1,3))),"")</f>
        <v/>
      </c>
      <c r="AM195" s="13"/>
      <c r="AN195" s="14" t="str">
        <f t="shared" ref="AN195:AN202" si="178">IFERROR(IF(AM195="","",IF(AM195="None",0,IF(AM195="1 prior flap",2,3))),"")</f>
        <v/>
      </c>
      <c r="AO195" s="13"/>
      <c r="AP195" s="14" t="str">
        <f t="shared" ref="AP195:AP202" si="179">IFERROR(IF(AO195="","",IF(AO195="None",0,IF(AO195="Intermittent (not daily)",1,2))),"")</f>
        <v/>
      </c>
      <c r="AQ195" s="13"/>
      <c r="AR195" s="14">
        <f t="shared" ref="AR195:AR202" si="180">IFERROR(IF(OR(AG195="Lower Extremity",AG195="Multiple Sites"),IF(AQ195="Y",1,0),0),"")</f>
        <v>0</v>
      </c>
      <c r="AS195" s="13"/>
      <c r="AT195" s="14">
        <f t="shared" ref="AT195:AT202" si="181">IFERROR(IF(AS195="Y",1,0),"")</f>
        <v>0</v>
      </c>
      <c r="AU195" s="14">
        <f t="shared" ref="AU195:AU202" si="182">IFERROR(SUM(AH195,AJ195,AL195,AN195,AP195,AR195,AT195),"")</f>
        <v>0</v>
      </c>
      <c r="AV195" s="13"/>
      <c r="AW195" s="14" t="str">
        <f t="shared" ref="AW195:AW202" si="183">IFERROR(IF(AV195="","",IF(AV195="No diabetes / HbA1c &lt;7.0%",0,IF(AV195="HbA1c 7.0-7.9%",1,2))),"")</f>
        <v/>
      </c>
      <c r="AX195" s="13"/>
      <c r="AY195" s="14" t="str">
        <f t="shared" ref="AY195:AY202" si="184">IFERROR(IF(AX195="","",IF(AX195="Never / Former (&gt;6mo abstinence)",0,2)),"")</f>
        <v/>
      </c>
      <c r="AZ195" s="13"/>
      <c r="BA195" s="14" t="str">
        <f t="shared" ref="BA195:BA202" si="185">IFERROR(IF(AZ195="","",IF(AZ195="None",0,IF(AZ195="One stable condition",1,2))),"")</f>
        <v/>
      </c>
      <c r="BB195" s="13"/>
      <c r="BC195" s="14">
        <f t="shared" ref="BC195:BC202" si="186">IFERROR(IF(BB195="Y",2,0),"")</f>
        <v>0</v>
      </c>
      <c r="BD195" s="14">
        <f t="shared" ref="BD195:BD202" si="187">IFERROR(SUM(AW195,AY195,BA195,BC195),"")</f>
        <v>0</v>
      </c>
      <c r="BE195" s="13"/>
      <c r="BF195" s="14" t="str">
        <f t="shared" ref="BF195:BF202" si="188">IFERROR(IF(BE195="","",IF(BE195="Ambulatory",0,IF(BE195="Wheelchair w/ cushions",1,IF(BE195="Bedbound w/ offloading mattress",2,3)))),"")</f>
        <v/>
      </c>
      <c r="BG195" s="13"/>
      <c r="BH195" s="14" t="str">
        <f t="shared" ref="BH195:BH202" si="189">IFERROR(IF(BG195="","",IF(BG195="Reliable 24/7 care",0,IF(BG195="Some support — inconsistent",2,0))),"")</f>
        <v/>
      </c>
      <c r="BI195" s="14">
        <f t="shared" ref="BI195:BI202" si="190">IFERROR(SUM(BF195,BH195),"")</f>
        <v>0</v>
      </c>
      <c r="BJ195" s="14">
        <f t="shared" ref="BJ195:BJ202" si="191">IFERROR(IF(COUNTA(AF195,AU195,BD195,BI195)=0,"",SUM(AF195,AU195,BD195,BI195)),"")</f>
        <v>0</v>
      </c>
      <c r="BK195" s="14" t="str">
        <f t="shared" ref="BK195:BK202" si="192">IFERROR(IF(BJ195="","",IF(BJ195&lt;6,"LOW RISK",IF(BJ195&lt;13,"MODERATE RISK",IF(BJ195&lt;20,"HIGH RISK","NOT AN IDEAL CANDIDATE")))),"")</f>
        <v>LOW RISK</v>
      </c>
      <c r="BL195" s="14" t="str">
        <f t="shared" ref="BL195:BL202" si="193">IFERROR(_xlfn.SINGLE(_xlfn.TEXTJOIN(", ", TRUE(), IF(V195 = "&lt;2.5 g/dL (Abs CI)", "Albumin CI", ""), IF(AB195 = "&gt;2.0 or Sepsis (Abs CI)", "PCT CI", ""), IF(BG195 = "No support (Functional CI)", "Functional CI", ""))), "")</f>
        <v/>
      </c>
      <c r="BM195" s="13"/>
      <c r="BN195" s="12"/>
      <c r="BO195" s="13"/>
      <c r="BP195" s="13"/>
      <c r="BQ195" s="13"/>
      <c r="BR195" s="13"/>
      <c r="BS195" s="13"/>
      <c r="BT195" s="13"/>
      <c r="BU195" s="14" t="str">
        <f t="shared" ref="BU195:BU202" si="194">IFERROR(IF(BT195="","",IF(BT195&lt;6,"LOW RISK",IF(BT195&lt;13,"MODERATE RISK",IF(BT195&lt;20,"HIGH RISK","NOT AN IDEAL CANDIDATE")))),"")</f>
        <v/>
      </c>
      <c r="BV195" s="13"/>
      <c r="BW195" s="13"/>
      <c r="BX195" s="13"/>
      <c r="BY195" s="13"/>
      <c r="BZ195" s="13"/>
      <c r="CA195" s="13"/>
      <c r="CB195" s="13"/>
      <c r="CC195" s="14" t="str">
        <f t="shared" ref="CC195:CC202" si="195">IFERROR(IF(COUNTA(BV195:CB195)=0,"",IF(COUNTIF(BV195:CB195,"Y")&gt;0,"YES — EVENT","NO event")),"")</f>
        <v/>
      </c>
      <c r="CD195" s="13"/>
      <c r="CE195" s="13"/>
      <c r="CF195" s="12"/>
      <c r="CG195" s="13"/>
      <c r="CH195" s="13"/>
      <c r="CI195" s="13"/>
      <c r="CJ195" s="13"/>
      <c r="CK195" s="13"/>
      <c r="CL195" s="12"/>
      <c r="CM195" s="13"/>
      <c r="CN195" s="13"/>
      <c r="CO195" s="13"/>
      <c r="CP195" s="12"/>
    </row>
    <row r="196" spans="1:94" x14ac:dyDescent="0.2">
      <c r="A196" s="12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4" t="str">
        <f t="shared" si="168"/>
        <v>✓ Clear to Score</v>
      </c>
      <c r="U196" s="13"/>
      <c r="V196" s="13"/>
      <c r="W196" s="14" t="str">
        <f t="shared" si="169"/>
        <v/>
      </c>
      <c r="X196" s="13"/>
      <c r="Y196" s="14" t="str">
        <f t="shared" si="170"/>
        <v/>
      </c>
      <c r="Z196" s="13"/>
      <c r="AA196" s="14" t="str">
        <f t="shared" si="171"/>
        <v/>
      </c>
      <c r="AB196" s="13"/>
      <c r="AC196" s="14" t="str">
        <f t="shared" si="172"/>
        <v/>
      </c>
      <c r="AD196" s="13"/>
      <c r="AE196" s="14">
        <f t="shared" si="173"/>
        <v>0</v>
      </c>
      <c r="AF196" s="14">
        <f t="shared" si="174"/>
        <v>0</v>
      </c>
      <c r="AG196" s="13"/>
      <c r="AH196" s="14" t="str">
        <f t="shared" si="175"/>
        <v/>
      </c>
      <c r="AI196" s="13"/>
      <c r="AJ196" s="14" t="str">
        <f t="shared" si="176"/>
        <v/>
      </c>
      <c r="AK196" s="13"/>
      <c r="AL196" s="14" t="str">
        <f t="shared" si="177"/>
        <v/>
      </c>
      <c r="AM196" s="13"/>
      <c r="AN196" s="14" t="str">
        <f t="shared" si="178"/>
        <v/>
      </c>
      <c r="AO196" s="13"/>
      <c r="AP196" s="14" t="str">
        <f t="shared" si="179"/>
        <v/>
      </c>
      <c r="AQ196" s="13"/>
      <c r="AR196" s="14">
        <f t="shared" si="180"/>
        <v>0</v>
      </c>
      <c r="AS196" s="13"/>
      <c r="AT196" s="14">
        <f t="shared" si="181"/>
        <v>0</v>
      </c>
      <c r="AU196" s="14">
        <f t="shared" si="182"/>
        <v>0</v>
      </c>
      <c r="AV196" s="13"/>
      <c r="AW196" s="14" t="str">
        <f t="shared" si="183"/>
        <v/>
      </c>
      <c r="AX196" s="13"/>
      <c r="AY196" s="14" t="str">
        <f t="shared" si="184"/>
        <v/>
      </c>
      <c r="AZ196" s="13"/>
      <c r="BA196" s="14" t="str">
        <f t="shared" si="185"/>
        <v/>
      </c>
      <c r="BB196" s="13"/>
      <c r="BC196" s="14">
        <f t="shared" si="186"/>
        <v>0</v>
      </c>
      <c r="BD196" s="14">
        <f t="shared" si="187"/>
        <v>0</v>
      </c>
      <c r="BE196" s="13"/>
      <c r="BF196" s="14" t="str">
        <f t="shared" si="188"/>
        <v/>
      </c>
      <c r="BG196" s="13"/>
      <c r="BH196" s="14" t="str">
        <f t="shared" si="189"/>
        <v/>
      </c>
      <c r="BI196" s="14">
        <f t="shared" si="190"/>
        <v>0</v>
      </c>
      <c r="BJ196" s="14">
        <f t="shared" si="191"/>
        <v>0</v>
      </c>
      <c r="BK196" s="14" t="str">
        <f t="shared" si="192"/>
        <v>LOW RISK</v>
      </c>
      <c r="BL196" s="14" t="str">
        <f t="shared" si="193"/>
        <v/>
      </c>
      <c r="BM196" s="13"/>
      <c r="BN196" s="12"/>
      <c r="BO196" s="13"/>
      <c r="BP196" s="13"/>
      <c r="BQ196" s="13"/>
      <c r="BR196" s="13"/>
      <c r="BS196" s="13"/>
      <c r="BT196" s="13"/>
      <c r="BU196" s="14" t="str">
        <f t="shared" si="194"/>
        <v/>
      </c>
      <c r="BV196" s="13"/>
      <c r="BW196" s="13"/>
      <c r="BX196" s="13"/>
      <c r="BY196" s="13"/>
      <c r="BZ196" s="13"/>
      <c r="CA196" s="13"/>
      <c r="CB196" s="13"/>
      <c r="CC196" s="14" t="str">
        <f t="shared" si="195"/>
        <v/>
      </c>
      <c r="CD196" s="13"/>
      <c r="CE196" s="13"/>
      <c r="CF196" s="12"/>
      <c r="CG196" s="13"/>
      <c r="CH196" s="13"/>
      <c r="CI196" s="13"/>
      <c r="CJ196" s="13"/>
      <c r="CK196" s="13"/>
      <c r="CL196" s="12"/>
      <c r="CM196" s="13"/>
      <c r="CN196" s="13"/>
      <c r="CO196" s="13"/>
      <c r="CP196" s="12"/>
    </row>
    <row r="197" spans="1:94" x14ac:dyDescent="0.2">
      <c r="A197" s="12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4" t="str">
        <f t="shared" si="168"/>
        <v>✓ Clear to Score</v>
      </c>
      <c r="U197" s="13"/>
      <c r="V197" s="13"/>
      <c r="W197" s="14" t="str">
        <f t="shared" si="169"/>
        <v/>
      </c>
      <c r="X197" s="13"/>
      <c r="Y197" s="14" t="str">
        <f t="shared" si="170"/>
        <v/>
      </c>
      <c r="Z197" s="13"/>
      <c r="AA197" s="14" t="str">
        <f t="shared" si="171"/>
        <v/>
      </c>
      <c r="AB197" s="13"/>
      <c r="AC197" s="14" t="str">
        <f t="shared" si="172"/>
        <v/>
      </c>
      <c r="AD197" s="13"/>
      <c r="AE197" s="14">
        <f t="shared" si="173"/>
        <v>0</v>
      </c>
      <c r="AF197" s="14">
        <f t="shared" si="174"/>
        <v>0</v>
      </c>
      <c r="AG197" s="13"/>
      <c r="AH197" s="14" t="str">
        <f t="shared" si="175"/>
        <v/>
      </c>
      <c r="AI197" s="13"/>
      <c r="AJ197" s="14" t="str">
        <f t="shared" si="176"/>
        <v/>
      </c>
      <c r="AK197" s="13"/>
      <c r="AL197" s="14" t="str">
        <f t="shared" si="177"/>
        <v/>
      </c>
      <c r="AM197" s="13"/>
      <c r="AN197" s="14" t="str">
        <f t="shared" si="178"/>
        <v/>
      </c>
      <c r="AO197" s="13"/>
      <c r="AP197" s="14" t="str">
        <f t="shared" si="179"/>
        <v/>
      </c>
      <c r="AQ197" s="13"/>
      <c r="AR197" s="14">
        <f t="shared" si="180"/>
        <v>0</v>
      </c>
      <c r="AS197" s="13"/>
      <c r="AT197" s="14">
        <f t="shared" si="181"/>
        <v>0</v>
      </c>
      <c r="AU197" s="14">
        <f t="shared" si="182"/>
        <v>0</v>
      </c>
      <c r="AV197" s="13"/>
      <c r="AW197" s="14" t="str">
        <f t="shared" si="183"/>
        <v/>
      </c>
      <c r="AX197" s="13"/>
      <c r="AY197" s="14" t="str">
        <f t="shared" si="184"/>
        <v/>
      </c>
      <c r="AZ197" s="13"/>
      <c r="BA197" s="14" t="str">
        <f t="shared" si="185"/>
        <v/>
      </c>
      <c r="BB197" s="13"/>
      <c r="BC197" s="14">
        <f t="shared" si="186"/>
        <v>0</v>
      </c>
      <c r="BD197" s="14">
        <f t="shared" si="187"/>
        <v>0</v>
      </c>
      <c r="BE197" s="13"/>
      <c r="BF197" s="14" t="str">
        <f t="shared" si="188"/>
        <v/>
      </c>
      <c r="BG197" s="13"/>
      <c r="BH197" s="14" t="str">
        <f t="shared" si="189"/>
        <v/>
      </c>
      <c r="BI197" s="14">
        <f t="shared" si="190"/>
        <v>0</v>
      </c>
      <c r="BJ197" s="14">
        <f t="shared" si="191"/>
        <v>0</v>
      </c>
      <c r="BK197" s="14" t="str">
        <f t="shared" si="192"/>
        <v>LOW RISK</v>
      </c>
      <c r="BL197" s="14" t="str">
        <f t="shared" si="193"/>
        <v/>
      </c>
      <c r="BM197" s="13"/>
      <c r="BN197" s="12"/>
      <c r="BO197" s="13"/>
      <c r="BP197" s="13"/>
      <c r="BQ197" s="13"/>
      <c r="BR197" s="13"/>
      <c r="BS197" s="13"/>
      <c r="BT197" s="13"/>
      <c r="BU197" s="14" t="str">
        <f t="shared" si="194"/>
        <v/>
      </c>
      <c r="BV197" s="13"/>
      <c r="BW197" s="13"/>
      <c r="BX197" s="13"/>
      <c r="BY197" s="13"/>
      <c r="BZ197" s="13"/>
      <c r="CA197" s="13"/>
      <c r="CB197" s="13"/>
      <c r="CC197" s="14" t="str">
        <f t="shared" si="195"/>
        <v/>
      </c>
      <c r="CD197" s="13"/>
      <c r="CE197" s="13"/>
      <c r="CF197" s="12"/>
      <c r="CG197" s="13"/>
      <c r="CH197" s="13"/>
      <c r="CI197" s="13"/>
      <c r="CJ197" s="13"/>
      <c r="CK197" s="13"/>
      <c r="CL197" s="12"/>
      <c r="CM197" s="13"/>
      <c r="CN197" s="13"/>
      <c r="CO197" s="13"/>
      <c r="CP197" s="12"/>
    </row>
    <row r="198" spans="1:94" x14ac:dyDescent="0.2">
      <c r="A198" s="12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4" t="str">
        <f t="shared" si="168"/>
        <v>✓ Clear to Score</v>
      </c>
      <c r="U198" s="13"/>
      <c r="V198" s="13"/>
      <c r="W198" s="14" t="str">
        <f t="shared" si="169"/>
        <v/>
      </c>
      <c r="X198" s="13"/>
      <c r="Y198" s="14" t="str">
        <f t="shared" si="170"/>
        <v/>
      </c>
      <c r="Z198" s="13"/>
      <c r="AA198" s="14" t="str">
        <f t="shared" si="171"/>
        <v/>
      </c>
      <c r="AB198" s="13"/>
      <c r="AC198" s="14" t="str">
        <f t="shared" si="172"/>
        <v/>
      </c>
      <c r="AD198" s="13"/>
      <c r="AE198" s="14">
        <f t="shared" si="173"/>
        <v>0</v>
      </c>
      <c r="AF198" s="14">
        <f t="shared" si="174"/>
        <v>0</v>
      </c>
      <c r="AG198" s="13"/>
      <c r="AH198" s="14" t="str">
        <f t="shared" si="175"/>
        <v/>
      </c>
      <c r="AI198" s="13"/>
      <c r="AJ198" s="14" t="str">
        <f t="shared" si="176"/>
        <v/>
      </c>
      <c r="AK198" s="13"/>
      <c r="AL198" s="14" t="str">
        <f t="shared" si="177"/>
        <v/>
      </c>
      <c r="AM198" s="13"/>
      <c r="AN198" s="14" t="str">
        <f t="shared" si="178"/>
        <v/>
      </c>
      <c r="AO198" s="13"/>
      <c r="AP198" s="14" t="str">
        <f t="shared" si="179"/>
        <v/>
      </c>
      <c r="AQ198" s="13"/>
      <c r="AR198" s="14">
        <f t="shared" si="180"/>
        <v>0</v>
      </c>
      <c r="AS198" s="13"/>
      <c r="AT198" s="14">
        <f t="shared" si="181"/>
        <v>0</v>
      </c>
      <c r="AU198" s="14">
        <f t="shared" si="182"/>
        <v>0</v>
      </c>
      <c r="AV198" s="13"/>
      <c r="AW198" s="14" t="str">
        <f t="shared" si="183"/>
        <v/>
      </c>
      <c r="AX198" s="13"/>
      <c r="AY198" s="14" t="str">
        <f t="shared" si="184"/>
        <v/>
      </c>
      <c r="AZ198" s="13"/>
      <c r="BA198" s="14" t="str">
        <f t="shared" si="185"/>
        <v/>
      </c>
      <c r="BB198" s="13"/>
      <c r="BC198" s="14">
        <f t="shared" si="186"/>
        <v>0</v>
      </c>
      <c r="BD198" s="14">
        <f t="shared" si="187"/>
        <v>0</v>
      </c>
      <c r="BE198" s="13"/>
      <c r="BF198" s="14" t="str">
        <f t="shared" si="188"/>
        <v/>
      </c>
      <c r="BG198" s="13"/>
      <c r="BH198" s="14" t="str">
        <f t="shared" si="189"/>
        <v/>
      </c>
      <c r="BI198" s="14">
        <f t="shared" si="190"/>
        <v>0</v>
      </c>
      <c r="BJ198" s="14">
        <f t="shared" si="191"/>
        <v>0</v>
      </c>
      <c r="BK198" s="14" t="str">
        <f t="shared" si="192"/>
        <v>LOW RISK</v>
      </c>
      <c r="BL198" s="14" t="str">
        <f t="shared" si="193"/>
        <v/>
      </c>
      <c r="BM198" s="13"/>
      <c r="BN198" s="12"/>
      <c r="BO198" s="13"/>
      <c r="BP198" s="13"/>
      <c r="BQ198" s="13"/>
      <c r="BR198" s="13"/>
      <c r="BS198" s="13"/>
      <c r="BT198" s="13"/>
      <c r="BU198" s="14" t="str">
        <f t="shared" si="194"/>
        <v/>
      </c>
      <c r="BV198" s="13"/>
      <c r="BW198" s="13"/>
      <c r="BX198" s="13"/>
      <c r="BY198" s="13"/>
      <c r="BZ198" s="13"/>
      <c r="CA198" s="13"/>
      <c r="CB198" s="13"/>
      <c r="CC198" s="14" t="str">
        <f t="shared" si="195"/>
        <v/>
      </c>
      <c r="CD198" s="13"/>
      <c r="CE198" s="13"/>
      <c r="CF198" s="12"/>
      <c r="CG198" s="13"/>
      <c r="CH198" s="13"/>
      <c r="CI198" s="13"/>
      <c r="CJ198" s="13"/>
      <c r="CK198" s="13"/>
      <c r="CL198" s="12"/>
      <c r="CM198" s="13"/>
      <c r="CN198" s="13"/>
      <c r="CO198" s="13"/>
      <c r="CP198" s="12"/>
    </row>
    <row r="199" spans="1:94" x14ac:dyDescent="0.2">
      <c r="A199" s="12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4" t="str">
        <f t="shared" si="168"/>
        <v>✓ Clear to Score</v>
      </c>
      <c r="U199" s="13"/>
      <c r="V199" s="13"/>
      <c r="W199" s="14" t="str">
        <f t="shared" si="169"/>
        <v/>
      </c>
      <c r="X199" s="13"/>
      <c r="Y199" s="14" t="str">
        <f t="shared" si="170"/>
        <v/>
      </c>
      <c r="Z199" s="13"/>
      <c r="AA199" s="14" t="str">
        <f t="shared" si="171"/>
        <v/>
      </c>
      <c r="AB199" s="13"/>
      <c r="AC199" s="14" t="str">
        <f t="shared" si="172"/>
        <v/>
      </c>
      <c r="AD199" s="13"/>
      <c r="AE199" s="14">
        <f t="shared" si="173"/>
        <v>0</v>
      </c>
      <c r="AF199" s="14">
        <f t="shared" si="174"/>
        <v>0</v>
      </c>
      <c r="AG199" s="13"/>
      <c r="AH199" s="14" t="str">
        <f t="shared" si="175"/>
        <v/>
      </c>
      <c r="AI199" s="13"/>
      <c r="AJ199" s="14" t="str">
        <f t="shared" si="176"/>
        <v/>
      </c>
      <c r="AK199" s="13"/>
      <c r="AL199" s="14" t="str">
        <f t="shared" si="177"/>
        <v/>
      </c>
      <c r="AM199" s="13"/>
      <c r="AN199" s="14" t="str">
        <f t="shared" si="178"/>
        <v/>
      </c>
      <c r="AO199" s="13"/>
      <c r="AP199" s="14" t="str">
        <f t="shared" si="179"/>
        <v/>
      </c>
      <c r="AQ199" s="13"/>
      <c r="AR199" s="14">
        <f t="shared" si="180"/>
        <v>0</v>
      </c>
      <c r="AS199" s="13"/>
      <c r="AT199" s="14">
        <f t="shared" si="181"/>
        <v>0</v>
      </c>
      <c r="AU199" s="14">
        <f t="shared" si="182"/>
        <v>0</v>
      </c>
      <c r="AV199" s="13"/>
      <c r="AW199" s="14" t="str">
        <f t="shared" si="183"/>
        <v/>
      </c>
      <c r="AX199" s="13"/>
      <c r="AY199" s="14" t="str">
        <f t="shared" si="184"/>
        <v/>
      </c>
      <c r="AZ199" s="13"/>
      <c r="BA199" s="14" t="str">
        <f t="shared" si="185"/>
        <v/>
      </c>
      <c r="BB199" s="13"/>
      <c r="BC199" s="14">
        <f t="shared" si="186"/>
        <v>0</v>
      </c>
      <c r="BD199" s="14">
        <f t="shared" si="187"/>
        <v>0</v>
      </c>
      <c r="BE199" s="13"/>
      <c r="BF199" s="14" t="str">
        <f t="shared" si="188"/>
        <v/>
      </c>
      <c r="BG199" s="13"/>
      <c r="BH199" s="14" t="str">
        <f t="shared" si="189"/>
        <v/>
      </c>
      <c r="BI199" s="14">
        <f t="shared" si="190"/>
        <v>0</v>
      </c>
      <c r="BJ199" s="14">
        <f t="shared" si="191"/>
        <v>0</v>
      </c>
      <c r="BK199" s="14" t="str">
        <f t="shared" si="192"/>
        <v>LOW RISK</v>
      </c>
      <c r="BL199" s="14" t="str">
        <f t="shared" si="193"/>
        <v/>
      </c>
      <c r="BM199" s="13"/>
      <c r="BN199" s="12"/>
      <c r="BO199" s="13"/>
      <c r="BP199" s="13"/>
      <c r="BQ199" s="13"/>
      <c r="BR199" s="13"/>
      <c r="BS199" s="13"/>
      <c r="BT199" s="13"/>
      <c r="BU199" s="14" t="str">
        <f t="shared" si="194"/>
        <v/>
      </c>
      <c r="BV199" s="13"/>
      <c r="BW199" s="13"/>
      <c r="BX199" s="13"/>
      <c r="BY199" s="13"/>
      <c r="BZ199" s="13"/>
      <c r="CA199" s="13"/>
      <c r="CB199" s="13"/>
      <c r="CC199" s="14" t="str">
        <f t="shared" si="195"/>
        <v/>
      </c>
      <c r="CD199" s="13"/>
      <c r="CE199" s="13"/>
      <c r="CF199" s="12"/>
      <c r="CG199" s="13"/>
      <c r="CH199" s="13"/>
      <c r="CI199" s="13"/>
      <c r="CJ199" s="13"/>
      <c r="CK199" s="13"/>
      <c r="CL199" s="12"/>
      <c r="CM199" s="13"/>
      <c r="CN199" s="13"/>
      <c r="CO199" s="13"/>
      <c r="CP199" s="12"/>
    </row>
    <row r="200" spans="1:94" x14ac:dyDescent="0.2">
      <c r="A200" s="12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4" t="str">
        <f t="shared" si="168"/>
        <v>✓ Clear to Score</v>
      </c>
      <c r="U200" s="13"/>
      <c r="V200" s="13"/>
      <c r="W200" s="14" t="str">
        <f t="shared" si="169"/>
        <v/>
      </c>
      <c r="X200" s="13"/>
      <c r="Y200" s="14" t="str">
        <f t="shared" si="170"/>
        <v/>
      </c>
      <c r="Z200" s="13"/>
      <c r="AA200" s="14" t="str">
        <f t="shared" si="171"/>
        <v/>
      </c>
      <c r="AB200" s="13"/>
      <c r="AC200" s="14" t="str">
        <f t="shared" si="172"/>
        <v/>
      </c>
      <c r="AD200" s="13"/>
      <c r="AE200" s="14">
        <f t="shared" si="173"/>
        <v>0</v>
      </c>
      <c r="AF200" s="14">
        <f t="shared" si="174"/>
        <v>0</v>
      </c>
      <c r="AG200" s="13"/>
      <c r="AH200" s="14" t="str">
        <f t="shared" si="175"/>
        <v/>
      </c>
      <c r="AI200" s="13"/>
      <c r="AJ200" s="14" t="str">
        <f t="shared" si="176"/>
        <v/>
      </c>
      <c r="AK200" s="13"/>
      <c r="AL200" s="14" t="str">
        <f t="shared" si="177"/>
        <v/>
      </c>
      <c r="AM200" s="13"/>
      <c r="AN200" s="14" t="str">
        <f t="shared" si="178"/>
        <v/>
      </c>
      <c r="AO200" s="13"/>
      <c r="AP200" s="14" t="str">
        <f t="shared" si="179"/>
        <v/>
      </c>
      <c r="AQ200" s="13"/>
      <c r="AR200" s="14">
        <f t="shared" si="180"/>
        <v>0</v>
      </c>
      <c r="AS200" s="13"/>
      <c r="AT200" s="14">
        <f t="shared" si="181"/>
        <v>0</v>
      </c>
      <c r="AU200" s="14">
        <f t="shared" si="182"/>
        <v>0</v>
      </c>
      <c r="AV200" s="13"/>
      <c r="AW200" s="14" t="str">
        <f t="shared" si="183"/>
        <v/>
      </c>
      <c r="AX200" s="13"/>
      <c r="AY200" s="14" t="str">
        <f t="shared" si="184"/>
        <v/>
      </c>
      <c r="AZ200" s="13"/>
      <c r="BA200" s="14" t="str">
        <f t="shared" si="185"/>
        <v/>
      </c>
      <c r="BB200" s="13"/>
      <c r="BC200" s="14">
        <f t="shared" si="186"/>
        <v>0</v>
      </c>
      <c r="BD200" s="14">
        <f t="shared" si="187"/>
        <v>0</v>
      </c>
      <c r="BE200" s="13"/>
      <c r="BF200" s="14" t="str">
        <f t="shared" si="188"/>
        <v/>
      </c>
      <c r="BG200" s="13"/>
      <c r="BH200" s="14" t="str">
        <f t="shared" si="189"/>
        <v/>
      </c>
      <c r="BI200" s="14">
        <f t="shared" si="190"/>
        <v>0</v>
      </c>
      <c r="BJ200" s="14">
        <f t="shared" si="191"/>
        <v>0</v>
      </c>
      <c r="BK200" s="14" t="str">
        <f t="shared" si="192"/>
        <v>LOW RISK</v>
      </c>
      <c r="BL200" s="14" t="str">
        <f t="shared" si="193"/>
        <v/>
      </c>
      <c r="BM200" s="13"/>
      <c r="BN200" s="12"/>
      <c r="BO200" s="13"/>
      <c r="BP200" s="13"/>
      <c r="BQ200" s="13"/>
      <c r="BR200" s="13"/>
      <c r="BS200" s="13"/>
      <c r="BT200" s="13"/>
      <c r="BU200" s="14" t="str">
        <f t="shared" si="194"/>
        <v/>
      </c>
      <c r="BV200" s="13"/>
      <c r="BW200" s="13"/>
      <c r="BX200" s="13"/>
      <c r="BY200" s="13"/>
      <c r="BZ200" s="13"/>
      <c r="CA200" s="13"/>
      <c r="CB200" s="13"/>
      <c r="CC200" s="14" t="str">
        <f t="shared" si="195"/>
        <v/>
      </c>
      <c r="CD200" s="13"/>
      <c r="CE200" s="13"/>
      <c r="CF200" s="12"/>
      <c r="CG200" s="13"/>
      <c r="CH200" s="13"/>
      <c r="CI200" s="13"/>
      <c r="CJ200" s="13"/>
      <c r="CK200" s="13"/>
      <c r="CL200" s="12"/>
      <c r="CM200" s="13"/>
      <c r="CN200" s="13"/>
      <c r="CO200" s="13"/>
      <c r="CP200" s="12"/>
    </row>
    <row r="201" spans="1:94" x14ac:dyDescent="0.2">
      <c r="A201" s="12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4" t="str">
        <f t="shared" si="168"/>
        <v>✓ Clear to Score</v>
      </c>
      <c r="U201" s="13"/>
      <c r="V201" s="13"/>
      <c r="W201" s="14" t="str">
        <f t="shared" si="169"/>
        <v/>
      </c>
      <c r="X201" s="13"/>
      <c r="Y201" s="14" t="str">
        <f t="shared" si="170"/>
        <v/>
      </c>
      <c r="Z201" s="13"/>
      <c r="AA201" s="14" t="str">
        <f t="shared" si="171"/>
        <v/>
      </c>
      <c r="AB201" s="13"/>
      <c r="AC201" s="14" t="str">
        <f t="shared" si="172"/>
        <v/>
      </c>
      <c r="AD201" s="13"/>
      <c r="AE201" s="14">
        <f t="shared" si="173"/>
        <v>0</v>
      </c>
      <c r="AF201" s="14">
        <f t="shared" si="174"/>
        <v>0</v>
      </c>
      <c r="AG201" s="13"/>
      <c r="AH201" s="14" t="str">
        <f t="shared" si="175"/>
        <v/>
      </c>
      <c r="AI201" s="13"/>
      <c r="AJ201" s="14" t="str">
        <f t="shared" si="176"/>
        <v/>
      </c>
      <c r="AK201" s="13"/>
      <c r="AL201" s="14" t="str">
        <f t="shared" si="177"/>
        <v/>
      </c>
      <c r="AM201" s="13"/>
      <c r="AN201" s="14" t="str">
        <f t="shared" si="178"/>
        <v/>
      </c>
      <c r="AO201" s="13"/>
      <c r="AP201" s="14" t="str">
        <f t="shared" si="179"/>
        <v/>
      </c>
      <c r="AQ201" s="13"/>
      <c r="AR201" s="14">
        <f t="shared" si="180"/>
        <v>0</v>
      </c>
      <c r="AS201" s="13"/>
      <c r="AT201" s="14">
        <f t="shared" si="181"/>
        <v>0</v>
      </c>
      <c r="AU201" s="14">
        <f t="shared" si="182"/>
        <v>0</v>
      </c>
      <c r="AV201" s="13"/>
      <c r="AW201" s="14" t="str">
        <f t="shared" si="183"/>
        <v/>
      </c>
      <c r="AX201" s="13"/>
      <c r="AY201" s="14" t="str">
        <f t="shared" si="184"/>
        <v/>
      </c>
      <c r="AZ201" s="13"/>
      <c r="BA201" s="14" t="str">
        <f t="shared" si="185"/>
        <v/>
      </c>
      <c r="BB201" s="13"/>
      <c r="BC201" s="14">
        <f t="shared" si="186"/>
        <v>0</v>
      </c>
      <c r="BD201" s="14">
        <f t="shared" si="187"/>
        <v>0</v>
      </c>
      <c r="BE201" s="13"/>
      <c r="BF201" s="14" t="str">
        <f t="shared" si="188"/>
        <v/>
      </c>
      <c r="BG201" s="13"/>
      <c r="BH201" s="14" t="str">
        <f t="shared" si="189"/>
        <v/>
      </c>
      <c r="BI201" s="14">
        <f t="shared" si="190"/>
        <v>0</v>
      </c>
      <c r="BJ201" s="14">
        <f t="shared" si="191"/>
        <v>0</v>
      </c>
      <c r="BK201" s="14" t="str">
        <f t="shared" si="192"/>
        <v>LOW RISK</v>
      </c>
      <c r="BL201" s="14" t="str">
        <f t="shared" si="193"/>
        <v/>
      </c>
      <c r="BM201" s="13"/>
      <c r="BN201" s="12"/>
      <c r="BO201" s="13"/>
      <c r="BP201" s="13"/>
      <c r="BQ201" s="13"/>
      <c r="BR201" s="13"/>
      <c r="BS201" s="13"/>
      <c r="BT201" s="13"/>
      <c r="BU201" s="14" t="str">
        <f t="shared" si="194"/>
        <v/>
      </c>
      <c r="BV201" s="13"/>
      <c r="BW201" s="13"/>
      <c r="BX201" s="13"/>
      <c r="BY201" s="13"/>
      <c r="BZ201" s="13"/>
      <c r="CA201" s="13"/>
      <c r="CB201" s="13"/>
      <c r="CC201" s="14" t="str">
        <f t="shared" si="195"/>
        <v/>
      </c>
      <c r="CD201" s="13"/>
      <c r="CE201" s="13"/>
      <c r="CF201" s="12"/>
      <c r="CG201" s="13"/>
      <c r="CH201" s="13"/>
      <c r="CI201" s="13"/>
      <c r="CJ201" s="13"/>
      <c r="CK201" s="13"/>
      <c r="CL201" s="12"/>
      <c r="CM201" s="13"/>
      <c r="CN201" s="13"/>
      <c r="CO201" s="13"/>
      <c r="CP201" s="12"/>
    </row>
    <row r="202" spans="1:94" x14ac:dyDescent="0.2">
      <c r="A202" s="12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4" t="str">
        <f t="shared" si="168"/>
        <v>✓ Clear to Score</v>
      </c>
      <c r="U202" s="13"/>
      <c r="V202" s="13"/>
      <c r="W202" s="14" t="str">
        <f t="shared" si="169"/>
        <v/>
      </c>
      <c r="X202" s="13"/>
      <c r="Y202" s="14" t="str">
        <f t="shared" si="170"/>
        <v/>
      </c>
      <c r="Z202" s="13"/>
      <c r="AA202" s="14" t="str">
        <f t="shared" si="171"/>
        <v/>
      </c>
      <c r="AB202" s="13"/>
      <c r="AC202" s="14" t="str">
        <f t="shared" si="172"/>
        <v/>
      </c>
      <c r="AD202" s="13"/>
      <c r="AE202" s="14">
        <f t="shared" si="173"/>
        <v>0</v>
      </c>
      <c r="AF202" s="14">
        <f t="shared" si="174"/>
        <v>0</v>
      </c>
      <c r="AG202" s="13"/>
      <c r="AH202" s="14" t="str">
        <f t="shared" si="175"/>
        <v/>
      </c>
      <c r="AI202" s="13"/>
      <c r="AJ202" s="14" t="str">
        <f t="shared" si="176"/>
        <v/>
      </c>
      <c r="AK202" s="13"/>
      <c r="AL202" s="14" t="str">
        <f t="shared" si="177"/>
        <v/>
      </c>
      <c r="AM202" s="13"/>
      <c r="AN202" s="14" t="str">
        <f t="shared" si="178"/>
        <v/>
      </c>
      <c r="AO202" s="13"/>
      <c r="AP202" s="14" t="str">
        <f t="shared" si="179"/>
        <v/>
      </c>
      <c r="AQ202" s="13"/>
      <c r="AR202" s="14">
        <f t="shared" si="180"/>
        <v>0</v>
      </c>
      <c r="AS202" s="13"/>
      <c r="AT202" s="14">
        <f t="shared" si="181"/>
        <v>0</v>
      </c>
      <c r="AU202" s="14">
        <f t="shared" si="182"/>
        <v>0</v>
      </c>
      <c r="AV202" s="13"/>
      <c r="AW202" s="14" t="str">
        <f t="shared" si="183"/>
        <v/>
      </c>
      <c r="AX202" s="13"/>
      <c r="AY202" s="14" t="str">
        <f t="shared" si="184"/>
        <v/>
      </c>
      <c r="AZ202" s="13"/>
      <c r="BA202" s="14" t="str">
        <f t="shared" si="185"/>
        <v/>
      </c>
      <c r="BB202" s="13"/>
      <c r="BC202" s="14">
        <f t="shared" si="186"/>
        <v>0</v>
      </c>
      <c r="BD202" s="14">
        <f t="shared" si="187"/>
        <v>0</v>
      </c>
      <c r="BE202" s="13"/>
      <c r="BF202" s="14" t="str">
        <f t="shared" si="188"/>
        <v/>
      </c>
      <c r="BG202" s="13"/>
      <c r="BH202" s="14" t="str">
        <f t="shared" si="189"/>
        <v/>
      </c>
      <c r="BI202" s="14">
        <f t="shared" si="190"/>
        <v>0</v>
      </c>
      <c r="BJ202" s="14">
        <f t="shared" si="191"/>
        <v>0</v>
      </c>
      <c r="BK202" s="14" t="str">
        <f t="shared" si="192"/>
        <v>LOW RISK</v>
      </c>
      <c r="BL202" s="14" t="str">
        <f t="shared" si="193"/>
        <v/>
      </c>
      <c r="BM202" s="13"/>
      <c r="BN202" s="12"/>
      <c r="BO202" s="13"/>
      <c r="BP202" s="13"/>
      <c r="BQ202" s="13"/>
      <c r="BR202" s="13"/>
      <c r="BS202" s="13"/>
      <c r="BT202" s="13"/>
      <c r="BU202" s="14" t="str">
        <f t="shared" si="194"/>
        <v/>
      </c>
      <c r="BV202" s="13"/>
      <c r="BW202" s="13"/>
      <c r="BX202" s="13"/>
      <c r="BY202" s="13"/>
      <c r="BZ202" s="13"/>
      <c r="CA202" s="13"/>
      <c r="CB202" s="13"/>
      <c r="CC202" s="14" t="str">
        <f t="shared" si="195"/>
        <v/>
      </c>
      <c r="CD202" s="13"/>
      <c r="CE202" s="13"/>
      <c r="CF202" s="12"/>
      <c r="CG202" s="13"/>
      <c r="CH202" s="13"/>
      <c r="CI202" s="13"/>
      <c r="CJ202" s="13"/>
      <c r="CK202" s="13"/>
      <c r="CL202" s="12"/>
      <c r="CM202" s="13"/>
      <c r="CN202" s="13"/>
      <c r="CO202" s="13"/>
      <c r="CP202" s="12"/>
    </row>
  </sheetData>
  <autoFilter ref="A2:CP202" xr:uid="{00000000-0009-0000-0000-000000000000}"/>
  <mergeCells count="12">
    <mergeCell ref="CE1:CK1"/>
    <mergeCell ref="CL1:CP1"/>
    <mergeCell ref="BE1:BI1"/>
    <mergeCell ref="BJ1:BL1"/>
    <mergeCell ref="BM1:BQ1"/>
    <mergeCell ref="BR1:BU1"/>
    <mergeCell ref="BV1:CD1"/>
    <mergeCell ref="A1:J1"/>
    <mergeCell ref="K1:T1"/>
    <mergeCell ref="U1:AF1"/>
    <mergeCell ref="AG1:AU1"/>
    <mergeCell ref="AV1:BD1"/>
  </mergeCells>
  <conditionalFormatting sqref="T3:T202">
    <cfRule type="expression" dxfId="11" priority="8">
      <formula>LEFT(T3,4)="STOP"</formula>
    </cfRule>
    <cfRule type="expression" dxfId="10" priority="9">
      <formula>LEFT(T3,1)="✓"</formula>
    </cfRule>
  </conditionalFormatting>
  <conditionalFormatting sqref="BJ3:BJ202">
    <cfRule type="expression" dxfId="9" priority="10">
      <formula>BJ3&gt;=20</formula>
    </cfRule>
    <cfRule type="expression" dxfId="8" priority="11">
      <formula>AND(BJ3&gt;=13,BJ3&lt;20)</formula>
    </cfRule>
    <cfRule type="expression" dxfId="7" priority="12">
      <formula>AND(BJ3&gt;=6,BJ3&lt;13)</formula>
    </cfRule>
    <cfRule type="expression" dxfId="6" priority="13">
      <formula>AND(BJ3&gt;=0,BJ3&lt;6)</formula>
    </cfRule>
  </conditionalFormatting>
  <conditionalFormatting sqref="BK3:BK202">
    <cfRule type="expression" dxfId="5" priority="2">
      <formula>BK3="LOW RISK"</formula>
    </cfRule>
    <cfRule type="expression" dxfId="4" priority="3">
      <formula>BK3="MODERATE RISK"</formula>
    </cfRule>
    <cfRule type="expression" dxfId="3" priority="4">
      <formula>BK3="HIGH RISK"</formula>
    </cfRule>
    <cfRule type="expression" dxfId="2" priority="5">
      <formula>BK3="NOT AN IDEAL CANDIDATE"</formula>
    </cfRule>
  </conditionalFormatting>
  <conditionalFormatting sqref="CC3:CC202">
    <cfRule type="expression" dxfId="1" priority="6">
      <formula>LEFT(CC3,3)="YES"</formula>
    </cfRule>
    <cfRule type="expression" dxfId="0" priority="7">
      <formula>CC3="NO event"</formula>
    </cfRule>
  </conditionalFormatting>
  <dataValidations count="25">
    <dataValidation type="decimal" allowBlank="1" sqref="D3:D202 BO3:BP202 BS3:BT202 CI3:CI202" xr:uid="{00000000-0002-0000-0000-000000000000}">
      <formula1>0</formula1>
      <formula2>0</formula2>
    </dataValidation>
    <dataValidation type="list" allowBlank="1" showErrorMessage="1" errorTitle="Invalid" error="Select from list." sqref="E3:E202" xr:uid="{00000000-0002-0000-0000-000001000000}">
      <formula1>"Male,Female,Non-binary/Other,Prefer not to say"</formula1>
      <formula2>0</formula2>
    </dataValidation>
    <dataValidation type="list" allowBlank="1" showErrorMessage="1" errorTitle="Invalid" error="Select from list." sqref="F3:G202" xr:uid="{00000000-0002-0000-0000-000002000000}">
      <formula1>"White/Caucasian,Black/African American,Hispanic/Latino,Asian,Native American,Native Hawaiian,Multiracial,Prefer not to say,Unknown"</formula1>
      <formula2>0</formula2>
    </dataValidation>
    <dataValidation type="list" allowBlank="1" showErrorMessage="1" errorTitle="Invalid" error="Select from list." sqref="H3:H202" xr:uid="{00000000-0002-0000-0000-000003000000}">
      <formula1>"I,II,III,IV,V"</formula1>
      <formula2>0</formula2>
    </dataValidation>
    <dataValidation type="list" allowBlank="1" showErrorMessage="1" errorTitle="Invalid" error="Select from list." sqref="I3:I202" xr:uid="{00000000-0002-0000-0000-000004000000}">
      <formula1>"Pressure Injury,Oncologic,Surgical Wound Complication,Traumatic Wound,Other"</formula1>
      <formula2>0</formula2>
    </dataValidation>
    <dataValidation type="list" allowBlank="1" showErrorMessage="1" errorTitle="Invalid" error="Select from list." sqref="J3:J202" xr:uid="{00000000-0002-0000-0000-000005000000}">
      <formula1>"Local Rotational,Pedicled Musculocutaneous,Fasciocutaneous,Perforator-based,Free Flap,Other,TBD"</formula1>
      <formula2>0</formula2>
    </dataValidation>
    <dataValidation type="list" allowBlank="1" showErrorMessage="1" errorTitle="Invalid" error="Enter Y or N." sqref="CN3:CO202 BR3:BR202 BB3:BB202 AS3:AS202 AQ3:AQ202 AD3:AD202 U3:U202 K3:S202" xr:uid="{00000000-0002-0000-0000-000006000000}">
      <formula1>"Y,N"</formula1>
      <formula2>0</formula2>
    </dataValidation>
    <dataValidation type="list" allowBlank="1" showErrorMessage="1" errorTitle="Invalid" error="Select from list." sqref="V3:V202" xr:uid="{00000000-0002-0000-0000-000010000000}">
      <formula1>"≥3.5 g/dL,3.0-3.49 g/dL,2.5-2.99 g/dL,&lt;2.5 g/dL (Abs CI)"</formula1>
      <formula2>0</formula2>
    </dataValidation>
    <dataValidation type="list" allowBlank="1" showErrorMessage="1" errorTitle="Invalid" error="Select from list." sqref="X3:X202" xr:uid="{00000000-0002-0000-0000-000011000000}">
      <formula1>"≥18 mg/dL,12-17.9 mg/dL,&lt;12 mg/dL"</formula1>
      <formula2>0</formula2>
    </dataValidation>
    <dataValidation type="list" allowBlank="1" showErrorMessage="1" errorTitle="Invalid" error="Select from list." sqref="Z3:Z202" xr:uid="{00000000-0002-0000-0000-000012000000}">
      <formula1>"Normal (BMI≥20 or &lt;10% UWL),Borderline (BMI 18.5-19.9 or 10-20% UWL),Severe (BMI&lt;18.5 or &gt;20% UWL)"</formula1>
      <formula2>0</formula2>
    </dataValidation>
    <dataValidation type="list" allowBlank="1" showErrorMessage="1" errorTitle="Invalid" error="Select from list." sqref="AB3:AB202" xr:uid="{00000000-0002-0000-0000-000013000000}">
      <formula1>"&lt;0.5 ng/mL,0.5-2.0 ng/mL,&gt;2.0 or Sepsis (Abs CI),Not ordered (0 pts)"</formula1>
      <formula2>0</formula2>
    </dataValidation>
    <dataValidation type="list" allowBlank="1" showErrorMessage="1" errorTitle="Invalid" error="Select from list." sqref="AG3:AG202" xr:uid="{00000000-0002-0000-0000-000015000000}">
      <formula1>"Sacral,Ischial,Trochanteric,Lower Extremity,Other,Multiple Sites"</formula1>
      <formula2>0</formula2>
    </dataValidation>
    <dataValidation type="list" allowBlank="1" showErrorMessage="1" errorTitle="Invalid" error="Select from list." sqref="AI3:AI202" xr:uid="{00000000-0002-0000-0000-000016000000}">
      <formula1>"&lt;50 cm²,50-100 cm²,&gt;100 cm²"</formula1>
      <formula2>0</formula2>
    </dataValidation>
    <dataValidation type="list" allowBlank="1" showErrorMessage="1" errorTitle="Invalid" error="Select from list." sqref="AK3:AK202" xr:uid="{00000000-0002-0000-0000-000017000000}">
      <formula1>"None,Chronic (&gt;4wk + sequestrum/sinus),Acute (≤4wk purulent)"</formula1>
      <formula2>0</formula2>
    </dataValidation>
    <dataValidation type="list" allowBlank="1" showErrorMessage="1" errorTitle="Invalid" error="Select from list." sqref="AM3:AM202" xr:uid="{00000000-0002-0000-0000-000018000000}">
      <formula1>"None,1 prior flap,≥2 prior flaps"</formula1>
      <formula2>0</formula2>
    </dataValidation>
    <dataValidation type="list" allowBlank="1" showErrorMessage="1" errorTitle="Invalid" error="Select from list." sqref="AO3:AO202" xr:uid="{00000000-0002-0000-0000-000019000000}">
      <formula1>"None,Intermittent (not daily),Constant (daily)"</formula1>
      <formula2>0</formula2>
    </dataValidation>
    <dataValidation type="list" allowBlank="1" showErrorMessage="1" errorTitle="Invalid" error="Select from list." sqref="AV3:AV202" xr:uid="{00000000-0002-0000-0000-00001C000000}">
      <formula1>"No diabetes / HbA1c &lt;7.0%,HbA1c 7.0-7.9%,HbA1c ≥8.0%"</formula1>
      <formula2>0</formula2>
    </dataValidation>
    <dataValidation type="list" allowBlank="1" showErrorMessage="1" errorTitle="Invalid" error="Select from list." sqref="AX3:AX202" xr:uid="{00000000-0002-0000-0000-00001D000000}">
      <formula1>"Never / Former (&gt;6mo abstinence),Current or quit &lt;6mo"</formula1>
      <formula2>0</formula2>
    </dataValidation>
    <dataValidation type="list" allowBlank="1" showErrorMessage="1" errorTitle="Invalid" error="Select from list." sqref="AZ3:AZ202" xr:uid="{00000000-0002-0000-0000-00001E000000}">
      <formula1>"None,One stable condition,≥2 conditions or symptomatic"</formula1>
      <formula2>0</formula2>
    </dataValidation>
    <dataValidation type="list" allowBlank="1" showErrorMessage="1" errorTitle="Invalid" error="Select from list." sqref="BE3:BE202" xr:uid="{00000000-0002-0000-0000-000020000000}">
      <formula1>"Ambulatory,Wheelchair w/ cushions,Bedbound w/ offloading mattress,Bedbound — no mattress"</formula1>
      <formula2>0</formula2>
    </dataValidation>
    <dataValidation type="list" allowBlank="1" showErrorMessage="1" errorTitle="Invalid" error="Select from list." sqref="BG3:BG202" xr:uid="{00000000-0002-0000-0000-000021000000}">
      <formula1>"Reliable 24/7 care,Some support — inconsistent,No support (Functional CI)"</formula1>
      <formula2>0</formula2>
    </dataValidation>
    <dataValidation type="list" allowBlank="1" showErrorMessage="1" errorTitle="Invalid" error="Select from list." sqref="BM3:BM202" xr:uid="{00000000-0002-0000-0000-000022000000}">
      <formula1>"Local Rotational,Pedicled Musculocutaneous,Fasciocutaneous,Perforator-based,Free Flap — ALT,Free Flap — TRAM/DIEP,Free Flap — Other,Other"</formula1>
      <formula2>0</formula2>
    </dataValidation>
    <dataValidation type="list" allowBlank="1" showErrorMessage="1" errorTitle="Invalid" error="Select from list." sqref="BQ3:BQ202" xr:uid="{00000000-0002-0000-0000-000023000000}">
      <formula1>"General,Regional,MAC,Combined"</formula1>
      <formula2>0</formula2>
    </dataValidation>
    <dataValidation type="list" allowBlank="1" showErrorMessage="1" errorTitle="Invalid" error="Enter Y, N, or Unknown." sqref="CJ3:CK202 CG3:CH202 CE3:CE202 BV3:CB202" xr:uid="{00000000-0002-0000-0000-000025000000}">
      <formula1>"Y,N,Unknown"</formula1>
      <formula2>0</formula2>
    </dataValidation>
    <dataValidation type="list" allowBlank="1" showErrorMessage="1" errorTitle="Invalid" error="Select from list." sqref="CD3:CD202" xr:uid="{00000000-0002-0000-0000-00002C000000}">
      <formula1>"I,II,IIIa,IIIb,IVa,IVb,V,N/A"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 - Clinical Data</vt:lpstr>
      <vt:lpstr>Instructions</vt:lpstr>
      <vt:lpstr>Clavien-Dindo Ref</vt:lpstr>
      <vt:lpstr>Dashboard</vt:lpstr>
      <vt:lpstr>F2F Reference</vt:lpstr>
      <vt:lpstr>Don’t use Patient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Pedro Fuenmayor</cp:lastModifiedBy>
  <cp:revision>0</cp:revision>
  <dcterms:created xsi:type="dcterms:W3CDTF">2026-06-08T01:43:13Z</dcterms:created>
  <dcterms:modified xsi:type="dcterms:W3CDTF">2026-08-22T15:29:35Z</dcterms:modified>
  <cp:category/>
  <cp:contentStatus/>
</cp:coreProperties>
</file>